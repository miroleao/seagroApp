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adoras" sheetId="1" r:id="rId5"/>
    <sheet state="visible" name="REBANHO GADO DE CAMPO" sheetId="2" r:id="rId6"/>
    <sheet state="visible" name="Prenhezes" sheetId="3" r:id="rId7"/>
    <sheet state="visible" name="EMBRIÕES" sheetId="4" r:id="rId8"/>
    <sheet state="visible" name="ASPIRAÇÕES REALIZADAS" sheetId="5" r:id="rId9"/>
    <sheet state="visible" name="ASPIRAÇÕES COMPRADAS" sheetId="6" r:id="rId10"/>
    <sheet state="visible" name="CUSTO EMBRIÕES" sheetId="7" r:id="rId11"/>
    <sheet state="visible" name="Machos" sheetId="8" r:id="rId12"/>
    <sheet state="visible" name="Parcelas Compras e Vendas" sheetId="9" r:id="rId13"/>
    <sheet state="visible" name="T.E. 1 e 2" sheetId="10" r:id="rId14"/>
    <sheet state="visible" name="T.E. 3" sheetId="11" r:id="rId15"/>
    <sheet state="visible" name="T.E. 4" sheetId="12" r:id="rId16"/>
  </sheets>
  <definedNames>
    <definedName hidden="1" localSheetId="0" name="_xlnm._FilterDatabase">Doadoras!$A$1:$Q$33</definedName>
    <definedName hidden="1" localSheetId="1" name="_xlnm._FilterDatabase">'REBANHO GADO DE CAMPO'!$A$1:$G$163</definedName>
    <definedName hidden="1" localSheetId="3" name="_xlnm._FilterDatabase">'EMBRIÕES'!$A$1:$O$136</definedName>
    <definedName hidden="1" localSheetId="4" name="_xlnm._FilterDatabase">'ASPIRAÇÕES REALIZADAS'!$A$30:$H$37</definedName>
    <definedName hidden="1" localSheetId="9" name="_xlnm._FilterDatabase">'T.E. 1 e 2'!$A$1:$K$27</definedName>
    <definedName hidden="1" localSheetId="10" name="_xlnm._FilterDatabase">'T.E. 3'!$A$1:$I$84</definedName>
    <definedName hidden="1" localSheetId="11" name="_xlnm._FilterDatabase">'T.E. 4'!$A$1:$G$74</definedName>
  </definedNames>
  <calcPr/>
</workbook>
</file>

<file path=xl/sharedStrings.xml><?xml version="1.0" encoding="utf-8"?>
<sst xmlns="http://schemas.openxmlformats.org/spreadsheetml/2006/main" count="3402" uniqueCount="1102">
  <si>
    <t>ANIMAL</t>
  </si>
  <si>
    <t>RGN</t>
  </si>
  <si>
    <t>NASCIMENTO</t>
  </si>
  <si>
    <t>IDADE(M)</t>
  </si>
  <si>
    <t>PAI</t>
  </si>
  <si>
    <t>MÃE</t>
  </si>
  <si>
    <t>AVÔ MATERNO</t>
  </si>
  <si>
    <t>AVÓ MATERNA</t>
  </si>
  <si>
    <t>BISAVÓ</t>
  </si>
  <si>
    <t>REPRODUTIVO</t>
  </si>
  <si>
    <t>PAI DA PRENHEZ</t>
  </si>
  <si>
    <t>LOCALIZAÇÃO</t>
  </si>
  <si>
    <t>VALOR PARCELA</t>
  </si>
  <si>
    <t>PERCENTUAL</t>
  </si>
  <si>
    <t>SOCIOS</t>
  </si>
  <si>
    <t>FOTO</t>
  </si>
  <si>
    <t>OBSERVAÇÕES</t>
  </si>
  <si>
    <t>AGRA DA COSMO</t>
  </si>
  <si>
    <t>ANB 3224</t>
  </si>
  <si>
    <t>KAYAK TE MAFRA</t>
  </si>
  <si>
    <t>CHERRY 2 FIV DA LGAL</t>
  </si>
  <si>
    <t>BITELO DA SS</t>
  </si>
  <si>
    <t>AVANA I FIV DA LGAL</t>
  </si>
  <si>
    <t>MAREA IV TE</t>
  </si>
  <si>
    <t>INSEMINADA (20/02)</t>
  </si>
  <si>
    <t>URIEL FIV DA DI GENIO</t>
  </si>
  <si>
    <t>SE AGROPECUÁRIA</t>
  </si>
  <si>
    <t>FERNANDO ARRUDA; MARCELO NAPOLEÃO; ALAN RESENDE</t>
  </si>
  <si>
    <t>DALYA FIV CRL</t>
  </si>
  <si>
    <t>NCRL 420</t>
  </si>
  <si>
    <t>LANDAU DA DI GENIO</t>
  </si>
  <si>
    <t>IZABELLA FIV FORT.VR</t>
  </si>
  <si>
    <t>ENLEVO DA MORUNGABA</t>
  </si>
  <si>
    <t>ENDDY TE DA FORT.VR</t>
  </si>
  <si>
    <t>VENA DA ZEB. VR</t>
  </si>
  <si>
    <t>COLETANDO</t>
  </si>
  <si>
    <t>MONTE VERDE (UBERABA)</t>
  </si>
  <si>
    <t>MONTE VERDE</t>
  </si>
  <si>
    <t>BATHINDA 1 FIV DA FAZ.VITORIA</t>
  </si>
  <si>
    <t>LFFV 698</t>
  </si>
  <si>
    <t>AÇUCENA FIV DA RS</t>
  </si>
  <si>
    <t>RANCHI IPE OURO</t>
  </si>
  <si>
    <t>BATHINDA I TE PONTAL</t>
  </si>
  <si>
    <t>FILHA DA NI MG</t>
  </si>
  <si>
    <t>INSEMINADA (21/11/2025)</t>
  </si>
  <si>
    <t>MARCELO NAPOLEÃO; MARCELO NOLETO</t>
  </si>
  <si>
    <t>AZURRA FIV GIBER</t>
  </si>
  <si>
    <t>GIBE 1735</t>
  </si>
  <si>
    <t>BITELO DS</t>
  </si>
  <si>
    <t>SHANKARA 4 FIV DO KALUNGA</t>
  </si>
  <si>
    <t>DONATA 5 DO KALUNGA</t>
  </si>
  <si>
    <t>DONATA DA TAM</t>
  </si>
  <si>
    <t>PRENHA (11/10/2025)</t>
  </si>
  <si>
    <t>SE AGROPECUARIA</t>
  </si>
  <si>
    <t>Doadoras_Images/AZURRA FIV GIBER.FOTO.011914.jpg</t>
  </si>
  <si>
    <t>ESTONIA FIV TLBF</t>
  </si>
  <si>
    <t>TLBF 89</t>
  </si>
  <si>
    <t>VERDANA 3 DA J.GALERA</t>
  </si>
  <si>
    <t>GANDHI PO DA NI</t>
  </si>
  <si>
    <t>JORDANIA XXVII FIV PONTAL</t>
  </si>
  <si>
    <t>JORDÂNIA II TE J.GALERA</t>
  </si>
  <si>
    <t>CAYMAN FIV DA RS</t>
  </si>
  <si>
    <t>RSBP 6057</t>
  </si>
  <si>
    <t>BOEMIA DA MUNDIAL</t>
  </si>
  <si>
    <t>ALARME EDTO</t>
  </si>
  <si>
    <t>TURBINADA-9 TE GUADALUPE</t>
  </si>
  <si>
    <t>J.E.N ILARA TE</t>
  </si>
  <si>
    <t>FERNANDO ARRUDA; MARCELO NAPOLEÃO; ALAN RESENDE; JOSÉ PELLEGRINO NETO (50%)</t>
  </si>
  <si>
    <t>GREGA FIV M. VERDE</t>
  </si>
  <si>
    <t>ISPU 6570</t>
  </si>
  <si>
    <t>MODULO TE BAR</t>
  </si>
  <si>
    <t>FOUNDA FIV M. VERDE</t>
  </si>
  <si>
    <t>THABATA FIV M.VERDE</t>
  </si>
  <si>
    <t>ZACHA TE QG ARATAU</t>
  </si>
  <si>
    <t>PARIDA 23/08/25</t>
  </si>
  <si>
    <t>FAZENDA JM</t>
  </si>
  <si>
    <t>FERNANDO ARRUDA; MARCELO NAPOLEÃO; JOÃO MADISON</t>
  </si>
  <si>
    <t>TABITA FIV</t>
  </si>
  <si>
    <t>TJS 33</t>
  </si>
  <si>
    <t xml:space="preserve">KERIDISSIMA-X FIV CGAL </t>
  </si>
  <si>
    <t>KERIDISSIMA FIV LAVRINHA</t>
  </si>
  <si>
    <t>JORDANIA II TE JGAL</t>
  </si>
  <si>
    <t>PRENHA</t>
  </si>
  <si>
    <t>EFICIENCE FIV NDF</t>
  </si>
  <si>
    <t>NDF 408</t>
  </si>
  <si>
    <t>INAJA-4 FIV DA VALONIA</t>
  </si>
  <si>
    <t>INAJA TE PORT</t>
  </si>
  <si>
    <t>VALA B.CORREIA</t>
  </si>
  <si>
    <t>HERINGER SERENNA3 FIV</t>
  </si>
  <si>
    <t>FHGNA 8179</t>
  </si>
  <si>
    <t>CURVA FIV M. VERDE</t>
  </si>
  <si>
    <t>J.E.N. ACUNCENA RIOMAR</t>
  </si>
  <si>
    <t>GANZA TE DA FUNAG</t>
  </si>
  <si>
    <t>SEM INFORMAÇÃO</t>
  </si>
  <si>
    <t>FERNANDO, MARCELO</t>
  </si>
  <si>
    <t>SEREIA DA ESTIVA (SINDI)</t>
  </si>
  <si>
    <t>AJCA 6664</t>
  </si>
  <si>
    <t>IRINEU DA ESTIVA</t>
  </si>
  <si>
    <t>BRASA DO IGAPO</t>
  </si>
  <si>
    <t>REDENTOR P</t>
  </si>
  <si>
    <t>BARITA</t>
  </si>
  <si>
    <t>AMETISTA</t>
  </si>
  <si>
    <t>FAZENDA PARAÍSO</t>
  </si>
  <si>
    <t>SOL FIV LUCENTE</t>
  </si>
  <si>
    <t>LUCE 202</t>
  </si>
  <si>
    <t>RETINA FIV UNIMAR</t>
  </si>
  <si>
    <t>ELEGANCE IV DA UNIMAR</t>
  </si>
  <si>
    <t>ESSENCIA TE GUADALUPE</t>
  </si>
  <si>
    <t>PRENHA (29/12/2025)</t>
  </si>
  <si>
    <t>Doadoras_Images/SOL FIV LUCENTE.FOTO.012115.jpg</t>
  </si>
  <si>
    <t>SOLEDADE FIV DA ESTIVA (SINDI)</t>
  </si>
  <si>
    <t>AJCA 6881</t>
  </si>
  <si>
    <t>MELCHIOR FIV DA ESTIVA</t>
  </si>
  <si>
    <t>FUZA AJCF</t>
  </si>
  <si>
    <t>QUENTÃO DA ESTIVA</t>
  </si>
  <si>
    <t>ROTINA DA ESTIVA</t>
  </si>
  <si>
    <t>HERESIA DA ESTIVA</t>
  </si>
  <si>
    <t>ANGELIKI FIV TRES MONTES</t>
  </si>
  <si>
    <t>FRTM 147</t>
  </si>
  <si>
    <t>OPOSITOR DA DI GENIO</t>
  </si>
  <si>
    <t>USINA FIV AGROCOPA</t>
  </si>
  <si>
    <t>MISSONI GUADALUPE</t>
  </si>
  <si>
    <t>FENOMENO FIV DA EAO</t>
  </si>
  <si>
    <t>MAHARASH II TE J.GAL</t>
  </si>
  <si>
    <t>NELORE LIBERDADE</t>
  </si>
  <si>
    <t>MARCOS JR.</t>
  </si>
  <si>
    <t>COLOMBINA FIV PFF AGRO (SINDI)</t>
  </si>
  <si>
    <t>PFFF 39</t>
  </si>
  <si>
    <t>DAMAN FIV OT</t>
  </si>
  <si>
    <t>SCALA FIV DA ESTIVA</t>
  </si>
  <si>
    <t>ROBO-E</t>
  </si>
  <si>
    <t>JANGADA DA ESTIVA</t>
  </si>
  <si>
    <t>BARAUNA DA ESTIVA</t>
  </si>
  <si>
    <t>IASMIN1 FIV M.VERDE</t>
  </si>
  <si>
    <t>ISPU 6756</t>
  </si>
  <si>
    <t>FASCINACAO FIV DA IGAP</t>
  </si>
  <si>
    <t>PARLA I FIV DA IGAP</t>
  </si>
  <si>
    <t>PARLA FIV AJJ</t>
  </si>
  <si>
    <t>FERNANDO ARRUDA; MONTE VERDE</t>
  </si>
  <si>
    <t>VELASHI I-II-ML FIV CGAL</t>
  </si>
  <si>
    <t>CGAL 3070</t>
  </si>
  <si>
    <t>DIAMANTE-5 TE GUADALUPE</t>
  </si>
  <si>
    <t>VELASHI I FIV CGAL</t>
  </si>
  <si>
    <t>BASCO DA SM</t>
  </si>
  <si>
    <t>CRISTAL FIV SBX</t>
  </si>
  <si>
    <t>Doadoras_Images/VELASHI I-II-ML FIV CGAL.FOTO.012150.jpg</t>
  </si>
  <si>
    <t>ELEGANCE FIV DA MORATO</t>
  </si>
  <si>
    <t>SGMM 5090</t>
  </si>
  <si>
    <t>PRINCESA FIV DA SABIA</t>
  </si>
  <si>
    <t>PRADA TE DA SABIA</t>
  </si>
  <si>
    <t>EUFORIA DA SABIA</t>
  </si>
  <si>
    <t>PRENHA (29/08/2025)</t>
  </si>
  <si>
    <t>JHVM 22893 FIV CAMPARINO</t>
  </si>
  <si>
    <t>FERNANDO ARRUDA</t>
  </si>
  <si>
    <t>DEMI MOORE FIV CBA</t>
  </si>
  <si>
    <t>CABN 880</t>
  </si>
  <si>
    <t>CELEBRIDADE 4 FIV HRO</t>
  </si>
  <si>
    <t>Doadoras_Images/DEMI MOORE FIV CBA.FOTO.011944.jpg</t>
  </si>
  <si>
    <t>IVANKA FIV M.VERDE</t>
  </si>
  <si>
    <t>ISPU 6807</t>
  </si>
  <si>
    <t>VACINA FIV GIBER</t>
  </si>
  <si>
    <t>ORQUESTRA TE M. VERDE</t>
  </si>
  <si>
    <t>MADRI GUADALUPE</t>
  </si>
  <si>
    <t>Doadoras_Images/IVANKA FIV M.V..FOTO.012047.jpg</t>
  </si>
  <si>
    <t>EVA I FIV LUCENTE</t>
  </si>
  <si>
    <t>LUCE 384</t>
  </si>
  <si>
    <t>ELEGANCE FIV GUARA</t>
  </si>
  <si>
    <t>ELEGANCE II TE UNIMAR</t>
  </si>
  <si>
    <t>Doadoras_Images/EVA I FIV LUCENTE.FOTO.012014.jpg</t>
  </si>
  <si>
    <t>BRENDA FIV TRES MONTES</t>
  </si>
  <si>
    <t>FRTM 220</t>
  </si>
  <si>
    <t>SUSAN DA RS</t>
  </si>
  <si>
    <t>RSBP 7717</t>
  </si>
  <si>
    <t>DODGE RAM DA RS</t>
  </si>
  <si>
    <t>HELENA FIV DA RS</t>
  </si>
  <si>
    <t>MISTÉRIO FIV CASS</t>
  </si>
  <si>
    <t>MAYANA DA MUNDIAL</t>
  </si>
  <si>
    <t>HÍPICA FIV DA RFA</t>
  </si>
  <si>
    <t>INSEMINADA</t>
  </si>
  <si>
    <t>RS</t>
  </si>
  <si>
    <t>ROBERTO BAVARESCO; 3JR</t>
  </si>
  <si>
    <t>Doadoras_Images/SUSAN DA RS.FOTO.012136.jpg</t>
  </si>
  <si>
    <t>GRAÇA 1 DA UNIPEC</t>
  </si>
  <si>
    <t>APJ 157</t>
  </si>
  <si>
    <t>GRAÇA FIV DA UNIPEC</t>
  </si>
  <si>
    <t>CAMPEÃ FIV DA SABIÁ</t>
  </si>
  <si>
    <t>SOVIÉTICA TE DA SABIÁ</t>
  </si>
  <si>
    <t>Doadoras_Images/GRAÇA 1 DA UNIPEC.FOTO.012027.jpg</t>
  </si>
  <si>
    <t>KHAIRA IX FIV LUCENTE</t>
  </si>
  <si>
    <t>LUCE 450</t>
  </si>
  <si>
    <t>NAFTA FIV DA FAI</t>
  </si>
  <si>
    <t>TAHITI TE GUADALUPE</t>
  </si>
  <si>
    <t>MAHARASHI I TE J.GALERA</t>
  </si>
  <si>
    <t>ISABEL DA SE</t>
  </si>
  <si>
    <t>SMEF 1</t>
  </si>
  <si>
    <t>FANTASTIC FIV CAMPAR</t>
  </si>
  <si>
    <t>KERIDISSIMA-X FIV CGAL</t>
  </si>
  <si>
    <t>MAGIA FIV DA PERBONI</t>
  </si>
  <si>
    <t>PERB 5929</t>
  </si>
  <si>
    <t>FLOR DA SABIÁ</t>
  </si>
  <si>
    <t>KERIDÍSSIMA XXVI- FIV CGAL</t>
  </si>
  <si>
    <t>CGAL 3440</t>
  </si>
  <si>
    <t>RADAN 3 TE J.GALERA</t>
  </si>
  <si>
    <t>KERIDÍSSIMA XXVI FIV CGAL</t>
  </si>
  <si>
    <t>KERIDÍSSIMA FIV LAVRINHA</t>
  </si>
  <si>
    <t>BEZERRA</t>
  </si>
  <si>
    <t>KERIDÍSSIMA XXVI-IV FIV CGAL</t>
  </si>
  <si>
    <t>CGAL 3445</t>
  </si>
  <si>
    <t>DACIA FIV BSP</t>
  </si>
  <si>
    <t>BSP 268</t>
  </si>
  <si>
    <t>OLINDA FIV GIBER</t>
  </si>
  <si>
    <t>DONATO DE NAVIRAÍ</t>
  </si>
  <si>
    <t>MOGIANA FIV JACURICY</t>
  </si>
  <si>
    <t>MOGIANA TE VALE</t>
  </si>
  <si>
    <t>SNL</t>
  </si>
  <si>
    <t>SNL AGROPECUÁRIA</t>
  </si>
  <si>
    <t>AMELIA FIV DA GRANN</t>
  </si>
  <si>
    <t>GRAN 2598</t>
  </si>
  <si>
    <t>AFRODHITE FIV DA SABIÁ</t>
  </si>
  <si>
    <t>CHARLESTON FIV DA SABIA</t>
  </si>
  <si>
    <t>SALINAS TE DA SABIÁ</t>
  </si>
  <si>
    <t>GRAN NELORE</t>
  </si>
  <si>
    <t>ANNE FIV DA SE AGRO</t>
  </si>
  <si>
    <t>SMEF 2</t>
  </si>
  <si>
    <t>BOBY HRO</t>
  </si>
  <si>
    <t>BRINCO</t>
  </si>
  <si>
    <t>ID ANTERIOR</t>
  </si>
  <si>
    <t>PESO 02/10</t>
  </si>
  <si>
    <t>PESO 19/12</t>
  </si>
  <si>
    <t>PESO 09/02/26</t>
  </si>
  <si>
    <t>SITUAÇÃO</t>
  </si>
  <si>
    <t>SE001</t>
  </si>
  <si>
    <t>VENDIDA CICINATO</t>
  </si>
  <si>
    <t>DESCARTE</t>
  </si>
  <si>
    <t>SE003</t>
  </si>
  <si>
    <t>P+ TE3 (SGMM5090 X BITELO SS) - F</t>
  </si>
  <si>
    <t>SE004</t>
  </si>
  <si>
    <t>VENDIDA ARILTON</t>
  </si>
  <si>
    <t>SE005</t>
  </si>
  <si>
    <t>INSEMINADA T.E.</t>
  </si>
  <si>
    <t>SE006</t>
  </si>
  <si>
    <t>SE007</t>
  </si>
  <si>
    <t>VENDIDA PEDRO BRANDÃO</t>
  </si>
  <si>
    <t>SE008</t>
  </si>
  <si>
    <t>SE009</t>
  </si>
  <si>
    <t>SE010</t>
  </si>
  <si>
    <t>SE011</t>
  </si>
  <si>
    <t>SE012</t>
  </si>
  <si>
    <t>SE013</t>
  </si>
  <si>
    <t>SE014</t>
  </si>
  <si>
    <t>SE015</t>
  </si>
  <si>
    <t>SE016</t>
  </si>
  <si>
    <t>SE017</t>
  </si>
  <si>
    <t>SE018</t>
  </si>
  <si>
    <t>SE019</t>
  </si>
  <si>
    <t>SE020</t>
  </si>
  <si>
    <t>MANEL DE SA MATOU</t>
  </si>
  <si>
    <t>SE021</t>
  </si>
  <si>
    <t>P+ TE2 (FCMN126 X BITELO)</t>
  </si>
  <si>
    <t>SE022</t>
  </si>
  <si>
    <t>SE023</t>
  </si>
  <si>
    <t>SE024</t>
  </si>
  <si>
    <t>SE025</t>
  </si>
  <si>
    <t>SE026</t>
  </si>
  <si>
    <t>P+ TE3 (LUCE384XLANDAU)</t>
  </si>
  <si>
    <t>SE027</t>
  </si>
  <si>
    <t>SE028</t>
  </si>
  <si>
    <t>PARIU BM (27/02/26)</t>
  </si>
  <si>
    <t>SE029</t>
  </si>
  <si>
    <t>SE030</t>
  </si>
  <si>
    <t>SE031</t>
  </si>
  <si>
    <t>SE032</t>
  </si>
  <si>
    <t>SE033</t>
  </si>
  <si>
    <t>SE034</t>
  </si>
  <si>
    <t>SE035</t>
  </si>
  <si>
    <t>SE036</t>
  </si>
  <si>
    <t>SE037</t>
  </si>
  <si>
    <t>SE038</t>
  </si>
  <si>
    <t>P+ TE3 (ISPU6807 X BITELO)</t>
  </si>
  <si>
    <t>SE039</t>
  </si>
  <si>
    <t>SE040</t>
  </si>
  <si>
    <t>SE041</t>
  </si>
  <si>
    <t>SE042</t>
  </si>
  <si>
    <t>SE043</t>
  </si>
  <si>
    <t>SE044</t>
  </si>
  <si>
    <t>SE045</t>
  </si>
  <si>
    <t>SE046</t>
  </si>
  <si>
    <t>SE047</t>
  </si>
  <si>
    <t>SE048</t>
  </si>
  <si>
    <t>SE049</t>
  </si>
  <si>
    <t>SE050</t>
  </si>
  <si>
    <t>SE051</t>
  </si>
  <si>
    <t>SE052</t>
  </si>
  <si>
    <t>SE053</t>
  </si>
  <si>
    <t>SE054</t>
  </si>
  <si>
    <t>SE055</t>
  </si>
  <si>
    <t>SE056</t>
  </si>
  <si>
    <t>SE057</t>
  </si>
  <si>
    <t>SE058</t>
  </si>
  <si>
    <t>SE059</t>
  </si>
  <si>
    <t>PARIDA GADO DE CAMPO</t>
  </si>
  <si>
    <t>SE060</t>
  </si>
  <si>
    <t>B016</t>
  </si>
  <si>
    <t>PARIDA NOV/25</t>
  </si>
  <si>
    <t>SE061</t>
  </si>
  <si>
    <t>SE062</t>
  </si>
  <si>
    <t>SE063</t>
  </si>
  <si>
    <t>SE064</t>
  </si>
  <si>
    <t>V087</t>
  </si>
  <si>
    <t>SE065</t>
  </si>
  <si>
    <t>A238</t>
  </si>
  <si>
    <t>P+</t>
  </si>
  <si>
    <t>SE066</t>
  </si>
  <si>
    <t>V074</t>
  </si>
  <si>
    <t>PARIDA</t>
  </si>
  <si>
    <t>SE067</t>
  </si>
  <si>
    <t>A212</t>
  </si>
  <si>
    <t>ABSORVEU TE1 (MPE120 X LANDAU)</t>
  </si>
  <si>
    <t>SE068</t>
  </si>
  <si>
    <t>B013</t>
  </si>
  <si>
    <t>P+ TE2 (FRTM147 X BITELO)</t>
  </si>
  <si>
    <t>PARIU BM CESÁREA (ÓBITO)</t>
  </si>
  <si>
    <t>SE069</t>
  </si>
  <si>
    <t>SE070</t>
  </si>
  <si>
    <t>V106</t>
  </si>
  <si>
    <t>SE071</t>
  </si>
  <si>
    <t>PARIDA NOV/25 TE1</t>
  </si>
  <si>
    <t>SE072</t>
  </si>
  <si>
    <t>B005</t>
  </si>
  <si>
    <t>SE073</t>
  </si>
  <si>
    <t>SE074</t>
  </si>
  <si>
    <t>A160</t>
  </si>
  <si>
    <t>P+ TE3 (LFFV698 X LANDAU)</t>
  </si>
  <si>
    <t>SE075</t>
  </si>
  <si>
    <t>SE076</t>
  </si>
  <si>
    <t>A245</t>
  </si>
  <si>
    <t>SE077</t>
  </si>
  <si>
    <t>A185</t>
  </si>
  <si>
    <t>SE078</t>
  </si>
  <si>
    <t>B012</t>
  </si>
  <si>
    <t>SE079</t>
  </si>
  <si>
    <t>V091</t>
  </si>
  <si>
    <t>SE080</t>
  </si>
  <si>
    <t>B022</t>
  </si>
  <si>
    <t>P+ TE2 (ISPU4743 X OPOSITOR)</t>
  </si>
  <si>
    <t>SE081</t>
  </si>
  <si>
    <t>B011</t>
  </si>
  <si>
    <t>PROTOCOLADA P/ TE</t>
  </si>
  <si>
    <t>SE082</t>
  </si>
  <si>
    <t>B017</t>
  </si>
  <si>
    <t>SE083</t>
  </si>
  <si>
    <t>A065</t>
  </si>
  <si>
    <t>P+ TE2 (FRTM147 X BITELO</t>
  </si>
  <si>
    <t>SE084</t>
  </si>
  <si>
    <t>B008</t>
  </si>
  <si>
    <t>SE085</t>
  </si>
  <si>
    <t>B015</t>
  </si>
  <si>
    <t>SE086</t>
  </si>
  <si>
    <t>AB130</t>
  </si>
  <si>
    <t>P+ (GADO DE CAMPO)</t>
  </si>
  <si>
    <t>SE087</t>
  </si>
  <si>
    <t>A227</t>
  </si>
  <si>
    <t>P+ TE2 (LFFV698 X LANDAU)</t>
  </si>
  <si>
    <t>PARIU BM (27/02/2026)</t>
  </si>
  <si>
    <t>SE088</t>
  </si>
  <si>
    <t>A216</t>
  </si>
  <si>
    <t>SE089</t>
  </si>
  <si>
    <t>AB104</t>
  </si>
  <si>
    <t>SE090</t>
  </si>
  <si>
    <t>SE091</t>
  </si>
  <si>
    <t>A186</t>
  </si>
  <si>
    <t>SE092</t>
  </si>
  <si>
    <t>A194</t>
  </si>
  <si>
    <t>SE093</t>
  </si>
  <si>
    <t>V141</t>
  </si>
  <si>
    <t>SE094</t>
  </si>
  <si>
    <t>A200</t>
  </si>
  <si>
    <t>SE095</t>
  </si>
  <si>
    <t>SE096</t>
  </si>
  <si>
    <t>B006</t>
  </si>
  <si>
    <t>SE097</t>
  </si>
  <si>
    <t>SE098</t>
  </si>
  <si>
    <t>SE099</t>
  </si>
  <si>
    <t>B007</t>
  </si>
  <si>
    <t>SE100</t>
  </si>
  <si>
    <t>SE101</t>
  </si>
  <si>
    <t>B021</t>
  </si>
  <si>
    <t>SE102</t>
  </si>
  <si>
    <t>V089</t>
  </si>
  <si>
    <t>SE103</t>
  </si>
  <si>
    <t>V078</t>
  </si>
  <si>
    <t>SE104</t>
  </si>
  <si>
    <t>SE105</t>
  </si>
  <si>
    <t>SE106</t>
  </si>
  <si>
    <t>V083</t>
  </si>
  <si>
    <t>SE107</t>
  </si>
  <si>
    <t>V080</t>
  </si>
  <si>
    <t>SE108</t>
  </si>
  <si>
    <t>A188</t>
  </si>
  <si>
    <t>SE109</t>
  </si>
  <si>
    <t>AB128</t>
  </si>
  <si>
    <t>SE110</t>
  </si>
  <si>
    <t>V094</t>
  </si>
  <si>
    <t>SE111</t>
  </si>
  <si>
    <t>V081</t>
  </si>
  <si>
    <t>SE112</t>
  </si>
  <si>
    <t>A163</t>
  </si>
  <si>
    <t>SE113</t>
  </si>
  <si>
    <t>SE114</t>
  </si>
  <si>
    <t>B010</t>
  </si>
  <si>
    <t>P+ TE1 (MPE120 X LANDAU) ???</t>
  </si>
  <si>
    <t>SE115</t>
  </si>
  <si>
    <t>SE116</t>
  </si>
  <si>
    <t>A164</t>
  </si>
  <si>
    <t>SE117</t>
  </si>
  <si>
    <t xml:space="preserve">P+ </t>
  </si>
  <si>
    <t>SE118</t>
  </si>
  <si>
    <t>SE119</t>
  </si>
  <si>
    <t>AB108</t>
  </si>
  <si>
    <t>SE120</t>
  </si>
  <si>
    <t>AA8866</t>
  </si>
  <si>
    <t>SE121</t>
  </si>
  <si>
    <t>SE122</t>
  </si>
  <si>
    <t>SE123</t>
  </si>
  <si>
    <t>SE124</t>
  </si>
  <si>
    <t>SE125</t>
  </si>
  <si>
    <t>A206</t>
  </si>
  <si>
    <t>SE126</t>
  </si>
  <si>
    <t>A187</t>
  </si>
  <si>
    <t>SE127</t>
  </si>
  <si>
    <t>V073</t>
  </si>
  <si>
    <t>SE128</t>
  </si>
  <si>
    <t>SE129</t>
  </si>
  <si>
    <t>A271</t>
  </si>
  <si>
    <t>SE130</t>
  </si>
  <si>
    <t>B023</t>
  </si>
  <si>
    <t>SE131</t>
  </si>
  <si>
    <t>SE132</t>
  </si>
  <si>
    <t>SE133</t>
  </si>
  <si>
    <t>B001</t>
  </si>
  <si>
    <t>SE134</t>
  </si>
  <si>
    <t>ABORTOU (TJS33 X LANDAU)</t>
  </si>
  <si>
    <t>SE135</t>
  </si>
  <si>
    <t>P+ TE1 (FHGN A8179 X LANDAU)</t>
  </si>
  <si>
    <t>SE136</t>
  </si>
  <si>
    <t>PARIDA (GADO DE CAMPO)</t>
  </si>
  <si>
    <t>SE137</t>
  </si>
  <si>
    <t>PARIDA NOV/25 (cruzar dados)</t>
  </si>
  <si>
    <t>SE138</t>
  </si>
  <si>
    <t>A165</t>
  </si>
  <si>
    <t>SE139</t>
  </si>
  <si>
    <t>B020</t>
  </si>
  <si>
    <t>SE140</t>
  </si>
  <si>
    <t>A267</t>
  </si>
  <si>
    <t>SE141</t>
  </si>
  <si>
    <t>B019</t>
  </si>
  <si>
    <t>SE142</t>
  </si>
  <si>
    <t>V099</t>
  </si>
  <si>
    <t>SE143</t>
  </si>
  <si>
    <t>A192</t>
  </si>
  <si>
    <t>R9825</t>
  </si>
  <si>
    <t>PARIDA JUL/25</t>
  </si>
  <si>
    <t>D386</t>
  </si>
  <si>
    <t>PARIDA AGO/25</t>
  </si>
  <si>
    <t>D702</t>
  </si>
  <si>
    <t>D301</t>
  </si>
  <si>
    <t>D449</t>
  </si>
  <si>
    <t>D590</t>
  </si>
  <si>
    <t>D565</t>
  </si>
  <si>
    <t>D423</t>
  </si>
  <si>
    <t>V085</t>
  </si>
  <si>
    <t>VACA PARIDA</t>
  </si>
  <si>
    <t>V077</t>
  </si>
  <si>
    <t>A202</t>
  </si>
  <si>
    <t>RECEPTORA RONALDO (ABORTOU)</t>
  </si>
  <si>
    <t>RECEPTORA RONALDO</t>
  </si>
  <si>
    <t>DOADORA</t>
  </si>
  <si>
    <t>TOURO ACASALAMENTO</t>
  </si>
  <si>
    <t>QUANTIDADE</t>
  </si>
  <si>
    <t>RECEPTORAS</t>
  </si>
  <si>
    <t>PREVISÃO PARTO (p.p.)</t>
  </si>
  <si>
    <t>PAI DA MATRIZ</t>
  </si>
  <si>
    <t>MÃE DA MATRIZ</t>
  </si>
  <si>
    <t>AVÓ DA MATRIZ</t>
  </si>
  <si>
    <t>OBSERVAÇÃO</t>
  </si>
  <si>
    <t>VENDEDOR(ES)</t>
  </si>
  <si>
    <t>lLEILÃO</t>
  </si>
  <si>
    <t>ISPU 5842</t>
  </si>
  <si>
    <t>KAYAK</t>
  </si>
  <si>
    <t>THABATA FIV M. VERDE</t>
  </si>
  <si>
    <t>CHIQUE FIV CBA (CABN430)</t>
  </si>
  <si>
    <t>CABN 430</t>
  </si>
  <si>
    <t>132 (AH 4624)</t>
  </si>
  <si>
    <t xml:space="preserve">LANDAU </t>
  </si>
  <si>
    <t>NELORE DF</t>
  </si>
  <si>
    <t>KARINA FIV AL CANAA (NFHC2344)</t>
  </si>
  <si>
    <t>NFHC 2344</t>
  </si>
  <si>
    <t>AC 1570; AC 1513</t>
  </si>
  <si>
    <t>VIATINA-19 FIV MARA MOVEIS</t>
  </si>
  <si>
    <t>VIATNA03 FIV MARA MOVEIS</t>
  </si>
  <si>
    <t>NELORE CANAA</t>
  </si>
  <si>
    <t>MILENA FIV AL CANAA (NFHC2880)</t>
  </si>
  <si>
    <t>NFHC 2880</t>
  </si>
  <si>
    <t>GUTO M. VERDE</t>
  </si>
  <si>
    <t>H 9366</t>
  </si>
  <si>
    <t>RIMA FIV GLADIADOR</t>
  </si>
  <si>
    <t>KARINA FIV MARA MOVEIS</t>
  </si>
  <si>
    <t>VIATINA 19 FIV MARA MOVEIS</t>
  </si>
  <si>
    <t>PARLA TN2 HVP</t>
  </si>
  <si>
    <t>HVP 3606</t>
  </si>
  <si>
    <t>ABORTOU</t>
  </si>
  <si>
    <t>JATANY TE AJJ</t>
  </si>
  <si>
    <t>HIALITA LAMU</t>
  </si>
  <si>
    <t>CHEGADA: 26/10/2025</t>
  </si>
  <si>
    <t>NELORE GIBERTONI; BOITEL SÃO PEDRO; ROBERTO BAVARESCO</t>
  </si>
  <si>
    <t>LEILÃO SILVERADO</t>
  </si>
  <si>
    <t xml:space="preserve">ESTACA FIV DA RS </t>
  </si>
  <si>
    <t>RSBP 6106</t>
  </si>
  <si>
    <t>LANDAU DA DI GÊNIO</t>
  </si>
  <si>
    <t>DIVINDADE FIV CIAV</t>
  </si>
  <si>
    <t>NELORE HK; DRAGA ALANA</t>
  </si>
  <si>
    <t>VITORIA FEST</t>
  </si>
  <si>
    <t xml:space="preserve">ELLA FIV CRL </t>
  </si>
  <si>
    <t>NCRL 493</t>
  </si>
  <si>
    <t>646(ABORTOU); 2998</t>
  </si>
  <si>
    <t>LANDAU</t>
  </si>
  <si>
    <t>RARIDADE FIV DA RFA</t>
  </si>
  <si>
    <t>NOANDHA FIV COMAPI</t>
  </si>
  <si>
    <t>CHEGADA: 23/11/2025</t>
  </si>
  <si>
    <t>GRAN NELORE; SYAGRI; SAO PEDRO; CRL AGROPECUARIA</t>
  </si>
  <si>
    <t>ALLIANZ DAYS</t>
  </si>
  <si>
    <t>JHADAH FIV VRI VILA REAL</t>
  </si>
  <si>
    <t>VRI 1847</t>
  </si>
  <si>
    <t>HAGATA FIV VRI DA VILA REAL</t>
  </si>
  <si>
    <t>HEMATITA DA HRO</t>
  </si>
  <si>
    <t>NELORE DA MONICA; NELORE SÃO PEDRO</t>
  </si>
  <si>
    <t>SHOPPING DA MONICA (EXPOINEL)</t>
  </si>
  <si>
    <t>QTD.</t>
  </si>
  <si>
    <t>DATA T.E.</t>
  </si>
  <si>
    <t>RESPONSAVEL</t>
  </si>
  <si>
    <t>BRINCO RECEPTORA</t>
  </si>
  <si>
    <t>Nº REC/ABCZ</t>
  </si>
  <si>
    <t>Nº CDC-FIV</t>
  </si>
  <si>
    <t>Nº ADT-TE</t>
  </si>
  <si>
    <t>SEXAGEM</t>
  </si>
  <si>
    <t>PARTO / NASC.</t>
  </si>
  <si>
    <t>NOME</t>
  </si>
  <si>
    <t>DNA</t>
  </si>
  <si>
    <t>S/I</t>
  </si>
  <si>
    <t>JM</t>
  </si>
  <si>
    <t>FOUNDA FIV M.VERDE (ISPU 5842)</t>
  </si>
  <si>
    <t>AGROBILARA</t>
  </si>
  <si>
    <t>FEMEA</t>
  </si>
  <si>
    <t>Não</t>
  </si>
  <si>
    <t>JULIANO</t>
  </si>
  <si>
    <t>CICINATO</t>
  </si>
  <si>
    <t>AJ7188</t>
  </si>
  <si>
    <t>ISANA 2 (CGAL2529)</t>
  </si>
  <si>
    <t>VICENTE</t>
  </si>
  <si>
    <t>KARLOTA FIV DA SE AGRO</t>
  </si>
  <si>
    <t>SMEF 5</t>
  </si>
  <si>
    <t>AJ7186</t>
  </si>
  <si>
    <t>KYT BEMBECA (KYT2201)</t>
  </si>
  <si>
    <t>KARENINA FIV DA SE AGRO</t>
  </si>
  <si>
    <t>SMEF 7</t>
  </si>
  <si>
    <t>AJ7192</t>
  </si>
  <si>
    <t>FIRALNA (ISPK9891)</t>
  </si>
  <si>
    <t>MACHO</t>
  </si>
  <si>
    <t>AUGUSTO FIV DA SE AGRO</t>
  </si>
  <si>
    <t>SMEF 9</t>
  </si>
  <si>
    <t>AJ7189</t>
  </si>
  <si>
    <t>ARAUTO FIV DA SE AGRO</t>
  </si>
  <si>
    <t>SMEF 11</t>
  </si>
  <si>
    <t>AJ7191</t>
  </si>
  <si>
    <t>APOLO FIV DA SE AGRO</t>
  </si>
  <si>
    <t>SMEF 8</t>
  </si>
  <si>
    <t>AJ7190</t>
  </si>
  <si>
    <t>FIRALNA FIV DA SE AGRO</t>
  </si>
  <si>
    <t>SMEF 10</t>
  </si>
  <si>
    <t>AJ7187</t>
  </si>
  <si>
    <t>KAREN FIV DA SE AGRO</t>
  </si>
  <si>
    <t>SMEF 6</t>
  </si>
  <si>
    <t>CHICÃO</t>
  </si>
  <si>
    <t>SE AGRO</t>
  </si>
  <si>
    <t>AK5975</t>
  </si>
  <si>
    <t>TABITA (TJS 33)</t>
  </si>
  <si>
    <t>TIRELLO</t>
  </si>
  <si>
    <t>KERIDA FIV DA SE AGRO</t>
  </si>
  <si>
    <t>SMEF 13</t>
  </si>
  <si>
    <t>AK5984</t>
  </si>
  <si>
    <t>COLOMBIANA (MPER 120)</t>
  </si>
  <si>
    <t>AMERICANA FIV DA SE AGRO</t>
  </si>
  <si>
    <t>SMEF 17</t>
  </si>
  <si>
    <t>AK5981</t>
  </si>
  <si>
    <t>FÊMEA</t>
  </si>
  <si>
    <t>AMERICA FIV DA SE AGRO</t>
  </si>
  <si>
    <t>SMEF 18</t>
  </si>
  <si>
    <t>AK5977</t>
  </si>
  <si>
    <t>KERIDISSIMA FIV DA SE AGRO</t>
  </si>
  <si>
    <t>SMEF 15</t>
  </si>
  <si>
    <t>AK5985</t>
  </si>
  <si>
    <t>AMERICANO FIV DA SE AGRO</t>
  </si>
  <si>
    <t>SMEF 19</t>
  </si>
  <si>
    <t>AK5976</t>
  </si>
  <si>
    <t>KERIDO FIV DA SE AGRO</t>
  </si>
  <si>
    <t>SMEF 14</t>
  </si>
  <si>
    <t>AK5983</t>
  </si>
  <si>
    <t>COLUMBINA FIV DA SE AGRO</t>
  </si>
  <si>
    <t>SMEF 20</t>
  </si>
  <si>
    <t>AK5974</t>
  </si>
  <si>
    <t>KERIDISSIMO FIV DA SE AGRO</t>
  </si>
  <si>
    <t>SMEF 16</t>
  </si>
  <si>
    <t>AK5987</t>
  </si>
  <si>
    <t>SERENNA3 (FHGN A8179)</t>
  </si>
  <si>
    <t>DALTON HERINGER</t>
  </si>
  <si>
    <t>ATLETA FIV DA SE AGRO</t>
  </si>
  <si>
    <t>SMEF 26</t>
  </si>
  <si>
    <t>AK5986</t>
  </si>
  <si>
    <t>COLOMBIANA FIV DA SE AGRO</t>
  </si>
  <si>
    <t>SMEF 21</t>
  </si>
  <si>
    <t>AK5980</t>
  </si>
  <si>
    <t>COLOMBIANO FIV DA SE AGRO</t>
  </si>
  <si>
    <t>SMEF 22</t>
  </si>
  <si>
    <t>AK5978</t>
  </si>
  <si>
    <t>COLOMBO FIV DA SE AGRO</t>
  </si>
  <si>
    <t>SMEF 23</t>
  </si>
  <si>
    <t>AK5979</t>
  </si>
  <si>
    <t>COLOMBIA FIV DA SE AGRO</t>
  </si>
  <si>
    <t>SMEF 24</t>
  </si>
  <si>
    <t>AK5982</t>
  </si>
  <si>
    <t>ATENAS FIV DA SE AGRO</t>
  </si>
  <si>
    <t>SMEF 25</t>
  </si>
  <si>
    <t>AK5988</t>
  </si>
  <si>
    <t>KAMALA (FCMN 126)</t>
  </si>
  <si>
    <t>BITELO SS</t>
  </si>
  <si>
    <t>ANT. CARVALHINHO</t>
  </si>
  <si>
    <t>AK5989</t>
  </si>
  <si>
    <t>AK5990</t>
  </si>
  <si>
    <t>ANGELIKI (FRTM 147)</t>
  </si>
  <si>
    <t>TRES MONTES</t>
  </si>
  <si>
    <t>ÓBITO</t>
  </si>
  <si>
    <t>PARTO CESAREO / ÓBITO</t>
  </si>
  <si>
    <t>AK5991</t>
  </si>
  <si>
    <t>TERNURA FIV M.VERDE</t>
  </si>
  <si>
    <t>OPOSITOR</t>
  </si>
  <si>
    <t>AK5992</t>
  </si>
  <si>
    <t>AK5993</t>
  </si>
  <si>
    <t>BATHINDA (LFFV 698)</t>
  </si>
  <si>
    <t>AK5994</t>
  </si>
  <si>
    <t>AK5995</t>
  </si>
  <si>
    <t>EVA I (LUCE 384)</t>
  </si>
  <si>
    <t>NÃO CONFIRMOU</t>
  </si>
  <si>
    <t>ELEGANCE (SGMM 5090)</t>
  </si>
  <si>
    <t>IVANKA (ISPU 6807)</t>
  </si>
  <si>
    <t>B009 (5776)</t>
  </si>
  <si>
    <t>SOL (LUCE 202)</t>
  </si>
  <si>
    <t>GETAGEN</t>
  </si>
  <si>
    <t>RONALDO</t>
  </si>
  <si>
    <t>EPIFANIA (XUAB 466)</t>
  </si>
  <si>
    <t>ORTIGIA (ESPN 3419)</t>
  </si>
  <si>
    <t>PEROLA MOGYANA (FRGM 883)</t>
  </si>
  <si>
    <t>PINOCCHIA (ESPN 3629)</t>
  </si>
  <si>
    <t>GENEAL</t>
  </si>
  <si>
    <t>RAÇA</t>
  </si>
  <si>
    <t>HALLELUJAH (NFHC 1076)</t>
  </si>
  <si>
    <t>BENESI</t>
  </si>
  <si>
    <t>ESLOVENIA HIV HRO</t>
  </si>
  <si>
    <t>CAMILA FIV CRL</t>
  </si>
  <si>
    <t>BOBY HRO (F)</t>
  </si>
  <si>
    <t>DALYA FIV CRL (NCRL 420)</t>
  </si>
  <si>
    <t>A 975</t>
  </si>
  <si>
    <t>A 1502</t>
  </si>
  <si>
    <t>ESTONIA (TLBF 89)</t>
  </si>
  <si>
    <t>CAYMAN (RSBP 6057)</t>
  </si>
  <si>
    <t>RIMA FIV SUDÃO</t>
  </si>
  <si>
    <t>KHAYRA IX (LUCE 450)</t>
  </si>
  <si>
    <t>AZURRA (GIBE 1735)</t>
  </si>
  <si>
    <t>BENTLEY TE BAR</t>
  </si>
  <si>
    <t xml:space="preserve">D423 </t>
  </si>
  <si>
    <t>BENESI CENTRAL</t>
  </si>
  <si>
    <t>CAMILA (NCRL 150)</t>
  </si>
  <si>
    <t>ESLOVENIA FIV HRO</t>
  </si>
  <si>
    <t>HELLELUJAH (NFHC 1076)</t>
  </si>
  <si>
    <t>ESTACA FIV DA RS (RSBP 6106)</t>
  </si>
  <si>
    <t>AC 1513</t>
  </si>
  <si>
    <t>KARINA FIV AL CANAA (NFHC 2344)</t>
  </si>
  <si>
    <t>AC 1570</t>
  </si>
  <si>
    <t>H9366</t>
  </si>
  <si>
    <t>MILENA FIV AL CANAA (NFHC 2880)</t>
  </si>
  <si>
    <t>GUTO FIV M. VERDE</t>
  </si>
  <si>
    <t>AH 4624</t>
  </si>
  <si>
    <t>CHIQUE FIV CBA (CABN 430)</t>
  </si>
  <si>
    <t>BOITEL</t>
  </si>
  <si>
    <t>AI 8340</t>
  </si>
  <si>
    <t>ELLA FIV CRL (NCRL 493)</t>
  </si>
  <si>
    <t>DATA:</t>
  </si>
  <si>
    <t>RESPONSÁVEL:</t>
  </si>
  <si>
    <t>LOCAL:</t>
  </si>
  <si>
    <t>RODA BRANCA</t>
  </si>
  <si>
    <t>#</t>
  </si>
  <si>
    <t>NASC.</t>
  </si>
  <si>
    <t>O. VIÁVEIS</t>
  </si>
  <si>
    <t>TOURO</t>
  </si>
  <si>
    <t>CONGELADOS DT</t>
  </si>
  <si>
    <t>PRENHEZES</t>
  </si>
  <si>
    <t>HRO 6830</t>
  </si>
  <si>
    <t>DR. JULIANO</t>
  </si>
  <si>
    <t>IMPLANTADOS</t>
  </si>
  <si>
    <t>VITRIFICADOS</t>
  </si>
  <si>
    <t>IVANKA FIV M.V.</t>
  </si>
  <si>
    <t>-</t>
  </si>
  <si>
    <t>IASMIN1 FIV M.V.</t>
  </si>
  <si>
    <t>TOTAIS:</t>
  </si>
  <si>
    <t>MONTE VERDE (UBE)</t>
  </si>
  <si>
    <t>HALLELUJAH FIV AL CANAA</t>
  </si>
  <si>
    <t>NFHC 1076</t>
  </si>
  <si>
    <t>GIBERTONI</t>
  </si>
  <si>
    <t>NCRL 150</t>
  </si>
  <si>
    <t>BOBY HRO (SEX)</t>
  </si>
  <si>
    <t>DONNA FIV DA MONICA</t>
  </si>
  <si>
    <t>MONI 6712</t>
  </si>
  <si>
    <t>IVECO</t>
  </si>
  <si>
    <t>DT</t>
  </si>
  <si>
    <t>HAVENGER</t>
  </si>
  <si>
    <t xml:space="preserve">KABUL </t>
  </si>
  <si>
    <t>DATA ASPIRAÇÃO</t>
  </si>
  <si>
    <t>OOCITOS VIÁVEIS</t>
  </si>
  <si>
    <t>DATA DE IMPLANT. EMB.</t>
  </si>
  <si>
    <t>T.E.</t>
  </si>
  <si>
    <t>CONFIRMADOS</t>
  </si>
  <si>
    <t>PREVISÃO PARTO</t>
  </si>
  <si>
    <t>EQUIPE/LABORATORIO</t>
  </si>
  <si>
    <t>P+ DG +60 DIAS</t>
  </si>
  <si>
    <t>COLOMBIANA FIV MPERBONI</t>
  </si>
  <si>
    <t xml:space="preserve">SAPHIRA FIV DO BONY </t>
  </si>
  <si>
    <t>RYATNA DA CARPA</t>
  </si>
  <si>
    <t>GREGA M. VERDE</t>
  </si>
  <si>
    <t>KAMALA FIV FCM</t>
  </si>
  <si>
    <t>PINTURA DA RFA</t>
  </si>
  <si>
    <t>LUSITANA V DA RFA</t>
  </si>
  <si>
    <t>2BM + 1BF</t>
  </si>
  <si>
    <t>2BF + 1BM</t>
  </si>
  <si>
    <t>TERNURA FIV M. VERDE</t>
  </si>
  <si>
    <t>FADEL TE CRUZ ALTA</t>
  </si>
  <si>
    <t>JARA IV FIV COMAPI</t>
  </si>
  <si>
    <t>ITALIA TE IV J.GAL</t>
  </si>
  <si>
    <t>1 BF</t>
  </si>
  <si>
    <t>ACUCENA FIV DA RS</t>
  </si>
  <si>
    <t>1 BM</t>
  </si>
  <si>
    <t>EPIFANIA FIV XUAB (XUAB466)</t>
  </si>
  <si>
    <t>1646 DA MN</t>
  </si>
  <si>
    <t>ESPANHOLA J. GALERA</t>
  </si>
  <si>
    <t>P+ 60D</t>
  </si>
  <si>
    <t>FAZ. ELDORADO (RONALDO)</t>
  </si>
  <si>
    <t>ESPN ORTIGIA (ESPN3419)</t>
  </si>
  <si>
    <t>RUSSIA TE J.GAL</t>
  </si>
  <si>
    <t>PEROLA FIV MOGYANA (FRGM883)</t>
  </si>
  <si>
    <t>VERDANA 6 J.GAL</t>
  </si>
  <si>
    <t>ESPN PINOCCHIA (ESPN3629)</t>
  </si>
  <si>
    <t>SERVIA 8 TE J.GAL</t>
  </si>
  <si>
    <t>HALLIANYIII FIV LINCE</t>
  </si>
  <si>
    <t>GART1107</t>
  </si>
  <si>
    <t>ALIANY FIV DA LINCE</t>
  </si>
  <si>
    <t>CELESTE</t>
  </si>
  <si>
    <t>HRO6830</t>
  </si>
  <si>
    <t>DONNA FIV CIAV</t>
  </si>
  <si>
    <t>IGOR SERON / GETAGEN</t>
  </si>
  <si>
    <t>15 EMBRIÕES COM LANDAU TN3(SEX)</t>
  </si>
  <si>
    <t>CENTRAL BENESI (UBERABA)</t>
  </si>
  <si>
    <t>JAPONEZA FIV AL CANAA</t>
  </si>
  <si>
    <t>NFHC1883</t>
  </si>
  <si>
    <t>ESPN MANSÃO</t>
  </si>
  <si>
    <t>NFHC1076</t>
  </si>
  <si>
    <t>CHARLESTON FIV DA SABIÁ</t>
  </si>
  <si>
    <t>SALINAS DA SABIÁ</t>
  </si>
  <si>
    <t>CENTRAL DA RAÇA (UBERABA)</t>
  </si>
  <si>
    <t>BRENDA FIV VANGUARD</t>
  </si>
  <si>
    <t>ALIKA TE DA BAL</t>
  </si>
  <si>
    <t>IZABELLA FIV FORT. VR</t>
  </si>
  <si>
    <t>TOURO ACASALAM.</t>
  </si>
  <si>
    <t>ASPIRAÇÃO</t>
  </si>
  <si>
    <t>TE</t>
  </si>
  <si>
    <t>VIAVEIS</t>
  </si>
  <si>
    <t>EMBRIOES</t>
  </si>
  <si>
    <t>P+ FEMEAS</t>
  </si>
  <si>
    <t>P+ MACHOS</t>
  </si>
  <si>
    <t>TOTAL P+</t>
  </si>
  <si>
    <t>P. PARTO</t>
  </si>
  <si>
    <t>PARCELA</t>
  </si>
  <si>
    <t>TOTAL</t>
  </si>
  <si>
    <t>VETERINARIO</t>
  </si>
  <si>
    <t>CUSTO TE</t>
  </si>
  <si>
    <t>VALOR/P+</t>
  </si>
  <si>
    <t>ELEGANTE FIV DA MORATO</t>
  </si>
  <si>
    <t>SGMM 5091</t>
  </si>
  <si>
    <t>ABSOLUTO DA SE AGRO</t>
  </si>
  <si>
    <t>SMEF 3</t>
  </si>
  <si>
    <t>AZUL DA SE AGRO</t>
  </si>
  <si>
    <t>SMEF 4</t>
  </si>
  <si>
    <t>ETTAN LEI NJOP</t>
  </si>
  <si>
    <t>SHANKARA4 FIV DO KALUNGA</t>
  </si>
  <si>
    <t>RESUMO</t>
  </si>
  <si>
    <t>COMPRAS E VENDAS SE AGROPECUARIA (LEILÕES)</t>
  </si>
  <si>
    <t>ENTRADA - SAÍDA:</t>
  </si>
  <si>
    <t>COMPRAS:</t>
  </si>
  <si>
    <t>VENDAS:</t>
  </si>
  <si>
    <t>LEILÃO</t>
  </si>
  <si>
    <t>DATA COMPRA</t>
  </si>
  <si>
    <t>PRODUTO</t>
  </si>
  <si>
    <t>TIPO</t>
  </si>
  <si>
    <t>VENDEDOR</t>
  </si>
  <si>
    <t>DATA VENDA</t>
  </si>
  <si>
    <t>COMPRADOR</t>
  </si>
  <si>
    <t>Nelore Liberdade</t>
  </si>
  <si>
    <t>Grega FIV M. Verde (25%)</t>
  </si>
  <si>
    <t>4º Leilao Nelore Liberdade</t>
  </si>
  <si>
    <t>50% Angelik Fiv Tres Montes</t>
  </si>
  <si>
    <t>Marcos Jr</t>
  </si>
  <si>
    <t>Leilão Monte Verde</t>
  </si>
  <si>
    <t>IASMIN1 FIV MONTE VERDE (25%)</t>
  </si>
  <si>
    <t>Agrobilara; Lourival Luz</t>
  </si>
  <si>
    <t>14º Leilão Eldorado</t>
  </si>
  <si>
    <t>Diva FIV do Kalunga</t>
  </si>
  <si>
    <t>3º Nelore Liberdade</t>
  </si>
  <si>
    <t>Prenhez Founda M.Verde x Boby HRO</t>
  </si>
  <si>
    <t>PRENHEZ</t>
  </si>
  <si>
    <t>Leilão Criadores Elite Corrente-PI</t>
  </si>
  <si>
    <t>Aspiração Grega Fiv M. Verde (50% - R$ 1.100,00)</t>
  </si>
  <si>
    <t>Vicente Sampaio</t>
  </si>
  <si>
    <t>3º Leilão Monte Verde</t>
  </si>
  <si>
    <t>Angelik FIV Três Montes</t>
  </si>
  <si>
    <t>Agrobilara; Tres Montes</t>
  </si>
  <si>
    <t>Leilão Jóias da Expoinel</t>
  </si>
  <si>
    <t>Prenhez Dalya FIV CRL</t>
  </si>
  <si>
    <t>Nelore Hoff; Juvencio</t>
  </si>
  <si>
    <t>12º Leilão Fazenda Eldorado</t>
  </si>
  <si>
    <t>Agra FIV da Cosmo (25%)</t>
  </si>
  <si>
    <t>Ronaldo Alves; Vander</t>
  </si>
  <si>
    <t>Antonio Gilberto</t>
  </si>
  <si>
    <t>Cayman FIV da RS (12,5%)</t>
  </si>
  <si>
    <t>JPN</t>
  </si>
  <si>
    <t>Leilão SNL Fest</t>
  </si>
  <si>
    <t>Jose C. Romanelli</t>
  </si>
  <si>
    <t>8º Leilão Jóias da Raça</t>
  </si>
  <si>
    <t>Heringer Serenna FIV (33%)</t>
  </si>
  <si>
    <t>Leilão Jóas da Raça</t>
  </si>
  <si>
    <t>Boitel São Pedro</t>
  </si>
  <si>
    <t xml:space="preserve">Tabita FIV (50%) </t>
  </si>
  <si>
    <t>Vicente Sampaio; Felipe Supreme</t>
  </si>
  <si>
    <t>EXPOAPI 2025</t>
  </si>
  <si>
    <t>Aspiração TABITA FIV</t>
  </si>
  <si>
    <t>Allan Rezende</t>
  </si>
  <si>
    <t>Aspiração Halliany FIV Lince (33%)</t>
  </si>
  <si>
    <t>4º Leilão Virtual Projeto Partners</t>
  </si>
  <si>
    <t>350 Oócitos (33%)</t>
  </si>
  <si>
    <t>Ronaldo Alves</t>
  </si>
  <si>
    <t>Abdu Neme</t>
  </si>
  <si>
    <t>Faz. Eldorado e Parceiros</t>
  </si>
  <si>
    <t>DIVA FIV DO KALUNGA (100%)</t>
  </si>
  <si>
    <t>Prenhez Dalya FIV CRL (02)</t>
  </si>
  <si>
    <t>Nelore Cascão</t>
  </si>
  <si>
    <t>5º Diamantino e Vitória</t>
  </si>
  <si>
    <t>Agrobilara; Cond. Vacina</t>
  </si>
  <si>
    <t>Virtual Partners Tres Montes</t>
  </si>
  <si>
    <t>Brenda Fiv Tres Montes (50%)</t>
  </si>
  <si>
    <t>Elegance e Elegante Fiv do Morato (50%)</t>
  </si>
  <si>
    <t>Geraldo Morato</t>
  </si>
  <si>
    <t>Virtual Elite Lucente</t>
  </si>
  <si>
    <t>Lucente</t>
  </si>
  <si>
    <t>Lucente; PSJ</t>
  </si>
  <si>
    <t>Igarapé Feira 2025</t>
  </si>
  <si>
    <t>Aspiração Japoneza FIV Al Canaa</t>
  </si>
  <si>
    <t>Naoum</t>
  </si>
  <si>
    <t>Irmãos Menezes</t>
  </si>
  <si>
    <t>Aspiração Eslovenia FIV HRO</t>
  </si>
  <si>
    <t>Roda Branca</t>
  </si>
  <si>
    <t>KERIDÍSSIMA XXVI e KERIDÍSSIMA XXVI-IV</t>
  </si>
  <si>
    <t>Evair Jacomasi</t>
  </si>
  <si>
    <t>Ronaldo Alves; Ibaneis Rocha; Manoel de Lemos</t>
  </si>
  <si>
    <t>Estonia FIV TLBF</t>
  </si>
  <si>
    <t>Ronaldo Alves; Ibaneis Rocha</t>
  </si>
  <si>
    <t>7º Leilão Nelore DF</t>
  </si>
  <si>
    <t>Prenhez Chique Fiv CBA x Kayak</t>
  </si>
  <si>
    <t>Nelore DF; Casa Branca</t>
  </si>
  <si>
    <t>8º Leilão Virtual Canaã</t>
  </si>
  <si>
    <t>Pacote Prenhezes (2 Karina x 1 Malena)</t>
  </si>
  <si>
    <t>AL Canaa</t>
  </si>
  <si>
    <t xml:space="preserve">2º Leilão Silverado </t>
  </si>
  <si>
    <t>Prenhez Parla TN2 HVP (50%)</t>
  </si>
  <si>
    <t>RS; Gibetoni; São Pedro</t>
  </si>
  <si>
    <t>Virtual Elite M. Verde 41 Anos</t>
  </si>
  <si>
    <t>Aspiração Hallelujah Fiv AL Canaã</t>
  </si>
  <si>
    <t>Agrobilara; CHeringer; Cesar Garetti</t>
  </si>
  <si>
    <t>11º Leilão Primavera CBA</t>
  </si>
  <si>
    <t>Demi Moore Fiv CBA</t>
  </si>
  <si>
    <t>Casa Branca; Rodrigo Faias</t>
  </si>
  <si>
    <t>Graça 1 da Unipec</t>
  </si>
  <si>
    <t>Cesar Bruneto; Alfredo Jr</t>
  </si>
  <si>
    <t>2º Vitoria Fest</t>
  </si>
  <si>
    <t>Prenhez Estaca FIV da RS (2 femeas)</t>
  </si>
  <si>
    <t>HK; Draga Alana</t>
  </si>
  <si>
    <t>Leilão Allianz Days</t>
  </si>
  <si>
    <t>Prenhez Ella FIV CRL (2 femeas)</t>
  </si>
  <si>
    <t>São Pedro; Syagri; CRL</t>
  </si>
  <si>
    <t>Susan da RS (40X)</t>
  </si>
  <si>
    <t>RS; 3JR</t>
  </si>
  <si>
    <t>Shopping Reserva Genética</t>
  </si>
  <si>
    <t>Aspiração Camila FIV CRL</t>
  </si>
  <si>
    <t>Gibertoni; CRL; Paranã</t>
  </si>
  <si>
    <t>Liquidação Perboni Mammut</t>
  </si>
  <si>
    <t>Magia Fiv da Perboni</t>
  </si>
  <si>
    <t>Perboni</t>
  </si>
  <si>
    <t>Compra Direta (M. VERDE)</t>
  </si>
  <si>
    <t>Dalya FIV CRL (50%)</t>
  </si>
  <si>
    <t>WWPP</t>
  </si>
  <si>
    <t>Shopping Monica Expoinel</t>
  </si>
  <si>
    <t>Prenhez Jhadah FIV VRI Vila Real</t>
  </si>
  <si>
    <t>Monica; São Pedro</t>
  </si>
  <si>
    <t>Aspiração Donna FIV da Monica</t>
  </si>
  <si>
    <t>Monica</t>
  </si>
  <si>
    <t>KHAIRA IX FIV LUCENTE (40X)</t>
  </si>
  <si>
    <t>Leilão Syagri</t>
  </si>
  <si>
    <t>Prenhez Natcheza Ourofino (02 fêmeas)</t>
  </si>
  <si>
    <t>Syagri</t>
  </si>
  <si>
    <t>Leilão Gran Nelore</t>
  </si>
  <si>
    <t>Amelia FIV da Grann</t>
  </si>
  <si>
    <t>Antonio Gilberto; Syagri</t>
  </si>
  <si>
    <t>Leilão Mara Moveis</t>
  </si>
  <si>
    <t>Aspiração Shakira Fiv Mara Moveis</t>
  </si>
  <si>
    <t>Mara Moveis</t>
  </si>
  <si>
    <t>Leilão Nelore São Pedro</t>
  </si>
  <si>
    <t>Aspiração Buona Fortuna Bonfiglioli</t>
  </si>
  <si>
    <t>Christian Mazetti</t>
  </si>
  <si>
    <t>50% Dacia FIV BSP</t>
  </si>
  <si>
    <t>Fazenda Eldorado e Parceiros</t>
  </si>
  <si>
    <t>Delegado e Caligula FIV CGAL</t>
  </si>
  <si>
    <t>Ronaldo Alves; Manoel de Lemos</t>
  </si>
  <si>
    <t>Heringer Larrara</t>
  </si>
  <si>
    <t>Leilão Virtual Nelore Americas</t>
  </si>
  <si>
    <t>Aspiração História FIV Napemo (50%)</t>
  </si>
  <si>
    <t>Americas; Huff</t>
  </si>
  <si>
    <t>ORIGEM</t>
  </si>
  <si>
    <t>RECEPTORA</t>
  </si>
  <si>
    <t>BRINCO ATUAL</t>
  </si>
  <si>
    <t>EMBRIÃO</t>
  </si>
  <si>
    <t>DATA</t>
  </si>
  <si>
    <t>SEXO</t>
  </si>
  <si>
    <t>P.P.</t>
  </si>
  <si>
    <t>NASCEU</t>
  </si>
  <si>
    <t>T.E.1</t>
  </si>
  <si>
    <t>PARAISO</t>
  </si>
  <si>
    <t>A068</t>
  </si>
  <si>
    <t>GREGA</t>
  </si>
  <si>
    <t>ISPU6570 X LANDAU</t>
  </si>
  <si>
    <t>NÃO SEXOU</t>
  </si>
  <si>
    <t>SANTANA</t>
  </si>
  <si>
    <t>TABITA</t>
  </si>
  <si>
    <t>TJS33 X LANDAU</t>
  </si>
  <si>
    <t>SIM</t>
  </si>
  <si>
    <t>COLOMBIANA MPERBONI</t>
  </si>
  <si>
    <t>MPE120/1 X LANDAU</t>
  </si>
  <si>
    <t>ABSORVEU</t>
  </si>
  <si>
    <t>HERINGER SERENNA3</t>
  </si>
  <si>
    <t>FHGN-A8179 X LANDAU</t>
  </si>
  <si>
    <t>NATIMORTO</t>
  </si>
  <si>
    <t>T.E.2</t>
  </si>
  <si>
    <t>B025</t>
  </si>
  <si>
    <t>KAMALA</t>
  </si>
  <si>
    <t>FCMN126 X BITELO</t>
  </si>
  <si>
    <t>Macho</t>
  </si>
  <si>
    <t>B028</t>
  </si>
  <si>
    <t>ANGELIKI</t>
  </si>
  <si>
    <t>FRTM147 X BITELO</t>
  </si>
  <si>
    <t>TERNURA M.VERDE</t>
  </si>
  <si>
    <t>ISPU4743 X OPOSITOR</t>
  </si>
  <si>
    <t>Fêmea</t>
  </si>
  <si>
    <t>BATHINDA</t>
  </si>
  <si>
    <t>LFFV698 X LANDAU</t>
  </si>
  <si>
    <t>Quant.</t>
  </si>
  <si>
    <t>Brinco</t>
  </si>
  <si>
    <t>Peso</t>
  </si>
  <si>
    <t>CLOE/CLOD</t>
  </si>
  <si>
    <t>IMPLANTE</t>
  </si>
  <si>
    <t>DG 02/10/25</t>
  </si>
  <si>
    <t>BRINCO ANTIGO</t>
  </si>
  <si>
    <t>CLOE</t>
  </si>
  <si>
    <t>Implante</t>
  </si>
  <si>
    <t>LUCE384 X LANDAU</t>
  </si>
  <si>
    <t>420.0</t>
  </si>
  <si>
    <t>SEM CL</t>
  </si>
  <si>
    <t>NÃO</t>
  </si>
  <si>
    <t>331.0</t>
  </si>
  <si>
    <t>CLOD</t>
  </si>
  <si>
    <t>ISPU6807 X BITELO SS</t>
  </si>
  <si>
    <t>V</t>
  </si>
  <si>
    <t>392.0</t>
  </si>
  <si>
    <t>SE002</t>
  </si>
  <si>
    <t>572.0</t>
  </si>
  <si>
    <t>LUCE202 X LANDAU</t>
  </si>
  <si>
    <t>388.0</t>
  </si>
  <si>
    <t>SGMM5090 X BITELO SS</t>
  </si>
  <si>
    <t>IMATURA</t>
  </si>
  <si>
    <t>330.0</t>
  </si>
  <si>
    <t>319.0</t>
  </si>
  <si>
    <t>329.0</t>
  </si>
  <si>
    <t>581.0</t>
  </si>
  <si>
    <t>300.0</t>
  </si>
  <si>
    <t>009B</t>
  </si>
  <si>
    <t>001SE</t>
  </si>
  <si>
    <t>002SE</t>
  </si>
  <si>
    <t>496.0</t>
  </si>
  <si>
    <t>003SE</t>
  </si>
  <si>
    <t>451.0</t>
  </si>
  <si>
    <t>004SE</t>
  </si>
  <si>
    <t>363.0</t>
  </si>
  <si>
    <t>005SE</t>
  </si>
  <si>
    <t>406.0</t>
  </si>
  <si>
    <t>006SE</t>
  </si>
  <si>
    <t>335.0</t>
  </si>
  <si>
    <t>007SE</t>
  </si>
  <si>
    <t>351.0</t>
  </si>
  <si>
    <t>008SE</t>
  </si>
  <si>
    <t>372.0</t>
  </si>
  <si>
    <t>009SE</t>
  </si>
  <si>
    <t>325.0</t>
  </si>
  <si>
    <t>010SE</t>
  </si>
  <si>
    <t>390.0</t>
  </si>
  <si>
    <t>011SE</t>
  </si>
  <si>
    <t>337.0</t>
  </si>
  <si>
    <t>013SE</t>
  </si>
  <si>
    <t>353.0</t>
  </si>
  <si>
    <t>002AB</t>
  </si>
  <si>
    <t>328.0</t>
  </si>
  <si>
    <t>084V</t>
  </si>
  <si>
    <t>012SE</t>
  </si>
  <si>
    <t>002B</t>
  </si>
  <si>
    <t>441.0</t>
  </si>
  <si>
    <t>105V</t>
  </si>
  <si>
    <t>343.0</t>
  </si>
  <si>
    <t>103AB</t>
  </si>
  <si>
    <t>310.0</t>
  </si>
  <si>
    <t>020B</t>
  </si>
  <si>
    <t>95AB</t>
  </si>
  <si>
    <t>435.0</t>
  </si>
  <si>
    <t>004B</t>
  </si>
  <si>
    <t>318.0</t>
  </si>
  <si>
    <t>AB100</t>
  </si>
  <si>
    <t>356.0</t>
  </si>
  <si>
    <t>AB98</t>
  </si>
  <si>
    <t>366.0</t>
  </si>
  <si>
    <t>023B</t>
  </si>
  <si>
    <t>BR023</t>
  </si>
  <si>
    <t>378.0</t>
  </si>
  <si>
    <t>079V</t>
  </si>
  <si>
    <t>091AB</t>
  </si>
  <si>
    <t>387.0</t>
  </si>
  <si>
    <t>025B</t>
  </si>
  <si>
    <t>432.0</t>
  </si>
  <si>
    <t>026B</t>
  </si>
  <si>
    <t>077V</t>
  </si>
  <si>
    <t>027B</t>
  </si>
  <si>
    <t>373.0</t>
  </si>
  <si>
    <t>082AB</t>
  </si>
  <si>
    <t>083V</t>
  </si>
  <si>
    <t>029B</t>
  </si>
  <si>
    <t>430.0</t>
  </si>
  <si>
    <t>085V</t>
  </si>
  <si>
    <t>086V</t>
  </si>
  <si>
    <t>087V</t>
  </si>
  <si>
    <t>030B</t>
  </si>
  <si>
    <t>094V</t>
  </si>
  <si>
    <t>031B</t>
  </si>
  <si>
    <t>104V</t>
  </si>
  <si>
    <t>032B</t>
  </si>
  <si>
    <t>362.0</t>
  </si>
  <si>
    <t>108AB</t>
  </si>
  <si>
    <t>128V(AB)</t>
  </si>
  <si>
    <t>130A</t>
  </si>
  <si>
    <t>130AB</t>
  </si>
  <si>
    <t>141AB</t>
  </si>
  <si>
    <t>033B</t>
  </si>
  <si>
    <t>412.0</t>
  </si>
  <si>
    <t>163A</t>
  </si>
  <si>
    <t>296.0</t>
  </si>
  <si>
    <t>206A</t>
  </si>
  <si>
    <t>AB97</t>
  </si>
  <si>
    <t>352.0</t>
  </si>
  <si>
    <t>73V</t>
  </si>
  <si>
    <t>89V</t>
  </si>
  <si>
    <t>014B</t>
  </si>
  <si>
    <t>391.0</t>
  </si>
  <si>
    <t>99V</t>
  </si>
  <si>
    <t>146AB</t>
  </si>
  <si>
    <t>369.0</t>
  </si>
  <si>
    <t>051AB</t>
  </si>
  <si>
    <t>018B</t>
  </si>
  <si>
    <t>BR009</t>
  </si>
  <si>
    <t>368.0</t>
  </si>
  <si>
    <t>DG</t>
  </si>
  <si>
    <t>DATA P.P.</t>
  </si>
  <si>
    <t>P</t>
  </si>
  <si>
    <t>NÃO RESPONDEU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</si>
</sst>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mmm&quot;/&quot;yyyy"/>
    <numFmt numFmtId="167" formatCode="mmmm/d"/>
    <numFmt numFmtId="168" formatCode="dd/mm/yyyy"/>
    <numFmt numFmtId="169" formatCode="mmm/d"/>
    <numFmt numFmtId="170" formatCode="d/m/yyyy"/>
    <numFmt numFmtId="171" formatCode="mmmd"/>
  </numFmts>
  <fonts count="26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color rgb="FFA61C00"/>
      <name val="Arial"/>
    </font>
    <font>
      <b/>
      <sz val="12.0"/>
      <color rgb="FF000000"/>
      <name val="Calibri"/>
    </font>
    <font>
      <b/>
      <sz val="12.0"/>
      <color theme="1"/>
      <name val="Calibri"/>
    </font>
    <font>
      <b/>
      <sz val="10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Roboto"/>
    </font>
    <font>
      <color rgb="FF000000"/>
      <name val="Roboto"/>
    </font>
    <font>
      <b/>
      <color rgb="FF000000"/>
      <name val="Arial"/>
      <scheme val="minor"/>
    </font>
    <font>
      <b/>
      <color rgb="FFFF0000"/>
      <name val="Arial"/>
    </font>
    <font>
      <b/>
      <color rgb="FF000000"/>
      <name val="Roboto"/>
    </font>
    <font>
      <b/>
      <color rgb="FF1155CC"/>
      <name val="Arial"/>
    </font>
    <font>
      <b/>
      <color rgb="FFCC0000"/>
      <name val="Arial"/>
    </font>
    <font>
      <color rgb="FFFF0000"/>
      <name val="Arial"/>
      <scheme val="minor"/>
    </font>
    <font>
      <color rgb="FFFF0000"/>
      <name val="Roboto"/>
    </font>
    <font>
      <b/>
      <color rgb="FFFF0000"/>
      <name val="Arial"/>
      <scheme val="minor"/>
    </font>
    <font>
      <color theme="7"/>
      <name val="Arial"/>
      <scheme val="minor"/>
    </font>
    <font>
      <color theme="7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49564C"/>
        <bgColor rgb="FF49564C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74139"/>
      </left>
      <right style="thin">
        <color rgb="FF49564C"/>
      </right>
      <top style="thin">
        <color rgb="FF374139"/>
      </top>
    </border>
    <border>
      <left style="thin">
        <color rgb="FF49564C"/>
      </left>
      <right style="thin">
        <color rgb="FF49564C"/>
      </right>
      <top style="thin">
        <color rgb="FF374139"/>
      </top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readingOrder="0" vertical="bottom"/>
    </xf>
    <xf borderId="0" fillId="2" fontId="1" numFmtId="165" xfId="0" applyAlignment="1" applyFont="1" applyNumberFormat="1">
      <alignment horizontal="center"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164" xfId="0" applyAlignment="1" applyFont="1" applyNumberFormat="1">
      <alignment horizontal="right" vertical="bottom"/>
    </xf>
    <xf borderId="0" fillId="3" fontId="4" numFmtId="0" xfId="0" applyAlignment="1" applyFont="1">
      <alignment horizontal="center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left" readingOrder="0" vertical="bottom"/>
    </xf>
    <xf borderId="0" fillId="3" fontId="4" numFmtId="0" xfId="0" applyAlignment="1" applyFont="1">
      <alignment horizontal="left" readingOrder="0"/>
    </xf>
    <xf borderId="0" fillId="3" fontId="3" numFmtId="165" xfId="0" applyAlignment="1" applyFont="1" applyNumberFormat="1">
      <alignment horizontal="right" readingOrder="0" vertical="bottom"/>
    </xf>
    <xf borderId="0" fillId="3" fontId="3" numFmtId="9" xfId="0" applyAlignment="1" applyFont="1" applyNumberFormat="1">
      <alignment horizontal="right" vertical="bottom"/>
    </xf>
    <xf borderId="0" fillId="3" fontId="3" numFmtId="0" xfId="0" applyAlignment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4" fontId="3" numFmtId="164" xfId="0" applyAlignment="1" applyFont="1" applyNumberFormat="1">
      <alignment horizontal="right" readingOrder="0" vertical="bottom"/>
    </xf>
    <xf borderId="0" fillId="4" fontId="4" numFmtId="0" xfId="0" applyAlignment="1" applyFont="1">
      <alignment horizontal="center"/>
    </xf>
    <xf borderId="0" fillId="4" fontId="3" numFmtId="0" xfId="0" applyAlignment="1" applyFont="1">
      <alignment horizontal="left" readingOrder="0" vertical="bottom"/>
    </xf>
    <xf borderId="0" fillId="4" fontId="3" numFmtId="165" xfId="0" applyAlignment="1" applyFont="1" applyNumberFormat="1">
      <alignment readingOrder="0" vertical="bottom"/>
    </xf>
    <xf borderId="0" fillId="4" fontId="3" numFmtId="9" xfId="0" applyAlignment="1" applyFont="1" applyNumberFormat="1">
      <alignment readingOrder="0" vertical="bottom"/>
    </xf>
    <xf borderId="0" fillId="4" fontId="2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4" fontId="3" numFmtId="164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4" fontId="3" numFmtId="165" xfId="0" applyAlignment="1" applyFont="1" applyNumberFormat="1">
      <alignment horizontal="right" readingOrder="0" vertical="bottom"/>
    </xf>
    <xf borderId="0" fillId="4" fontId="3" numFmtId="9" xfId="0" applyAlignment="1" applyFont="1" applyNumberFormat="1">
      <alignment horizontal="right" vertical="bottom"/>
    </xf>
    <xf borderId="0" fillId="3" fontId="3" numFmtId="164" xfId="0" applyAlignment="1" applyFont="1" applyNumberFormat="1">
      <alignment horizontal="right" readingOrder="0" vertical="bottom"/>
    </xf>
    <xf borderId="0" fillId="4" fontId="4" numFmtId="0" xfId="0" applyAlignment="1" applyFont="1">
      <alignment horizontal="left" readingOrder="0"/>
    </xf>
    <xf borderId="0" fillId="4" fontId="3" numFmtId="10" xfId="0" applyAlignment="1" applyFont="1" applyNumberFormat="1">
      <alignment horizontal="right" vertical="bottom"/>
    </xf>
    <xf borderId="0" fillId="4" fontId="3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3" fontId="3" numFmtId="165" xfId="0" applyAlignment="1" applyFont="1" applyNumberFormat="1">
      <alignment readingOrder="0" vertical="bottom"/>
    </xf>
    <xf borderId="0" fillId="3" fontId="3" numFmtId="9" xfId="0" applyAlignment="1" applyFont="1" applyNumberFormat="1">
      <alignment readingOrder="0" vertical="bottom"/>
    </xf>
    <xf borderId="0" fillId="3" fontId="2" numFmtId="0" xfId="0" applyAlignment="1" applyFont="1">
      <alignment readingOrder="0" vertical="bottom"/>
    </xf>
    <xf borderId="0" fillId="4" fontId="3" numFmtId="9" xfId="0" applyAlignment="1" applyFont="1" applyNumberFormat="1">
      <alignment horizontal="right" readingOrder="0" vertical="bottom"/>
    </xf>
    <xf borderId="0" fillId="3" fontId="3" numFmtId="0" xfId="0" applyAlignment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3" fontId="3" numFmtId="0" xfId="0" applyAlignment="1" applyFont="1">
      <alignment horizontal="left" readingOrder="0" vertical="bottom"/>
    </xf>
    <xf borderId="0" fillId="3" fontId="3" numFmtId="165" xfId="0" applyAlignment="1" applyFont="1" applyNumberFormat="1">
      <alignment vertical="bottom"/>
    </xf>
    <xf borderId="0" fillId="4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left" readingOrder="0" vertical="bottom"/>
    </xf>
    <xf borderId="0" fillId="4" fontId="3" numFmtId="165" xfId="0" applyAlignment="1" applyFont="1" applyNumberFormat="1">
      <alignment vertical="bottom"/>
    </xf>
    <xf borderId="0" fillId="3" fontId="3" numFmtId="0" xfId="0" applyAlignment="1" applyFont="1">
      <alignment horizontal="center" readingOrder="0" vertical="bottom"/>
    </xf>
    <xf borderId="1" fillId="5" fontId="6" numFmtId="0" xfId="0" applyAlignment="1" applyBorder="1" applyFill="1" applyFont="1">
      <alignment horizontal="left" readingOrder="0" vertical="bottom"/>
    </xf>
    <xf borderId="1" fillId="5" fontId="7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bottom"/>
    </xf>
    <xf borderId="1" fillId="5" fontId="6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/>
    </xf>
    <xf borderId="1" fillId="6" fontId="10" numFmtId="0" xfId="0" applyAlignment="1" applyBorder="1" applyFill="1" applyFont="1">
      <alignment readingOrder="0" vertical="bottom"/>
    </xf>
    <xf borderId="1" fillId="6" fontId="9" numFmtId="0" xfId="0" applyAlignment="1" applyBorder="1" applyFont="1">
      <alignment horizontal="left"/>
    </xf>
    <xf borderId="1" fillId="6" fontId="10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readingOrder="0" vertical="bottom"/>
    </xf>
    <xf borderId="0" fillId="0" fontId="9" numFmtId="0" xfId="0" applyFont="1"/>
    <xf borderId="1" fillId="0" fontId="10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left"/>
    </xf>
    <xf borderId="1" fillId="0" fontId="10" numFmtId="0" xfId="0" applyAlignment="1" applyBorder="1" applyFont="1">
      <alignment horizontal="center" readingOrder="0" vertical="bottom"/>
    </xf>
    <xf borderId="1" fillId="7" fontId="10" numFmtId="0" xfId="0" applyAlignment="1" applyBorder="1" applyFill="1" applyFont="1">
      <alignment readingOrder="0" vertical="bottom"/>
    </xf>
    <xf borderId="1" fillId="7" fontId="9" numFmtId="0" xfId="0" applyAlignment="1" applyBorder="1" applyFont="1">
      <alignment horizontal="left"/>
    </xf>
    <xf borderId="1" fillId="7" fontId="9" numFmtId="0" xfId="0" applyAlignment="1" applyBorder="1" applyFont="1">
      <alignment horizontal="center" readingOrder="0" vertical="bottom"/>
    </xf>
    <xf borderId="1" fillId="7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 vertical="bottom"/>
    </xf>
    <xf borderId="1" fillId="8" fontId="10" numFmtId="0" xfId="0" applyAlignment="1" applyBorder="1" applyFill="1" applyFont="1">
      <alignment horizontal="left" readingOrder="0" vertical="bottom"/>
    </xf>
    <xf borderId="1" fillId="8" fontId="9" numFmtId="0" xfId="0" applyAlignment="1" applyBorder="1" applyFont="1">
      <alignment horizontal="left"/>
    </xf>
    <xf borderId="1" fillId="8" fontId="9" numFmtId="0" xfId="0" applyAlignment="1" applyBorder="1" applyFont="1">
      <alignment horizontal="center" readingOrder="0" vertical="bottom"/>
    </xf>
    <xf borderId="1" fillId="8" fontId="9" numFmtId="0" xfId="0" applyAlignment="1" applyBorder="1" applyFont="1">
      <alignment readingOrder="0" vertical="bottom"/>
    </xf>
    <xf borderId="1" fillId="8" fontId="10" numFmtId="0" xfId="0" applyAlignment="1" applyBorder="1" applyFont="1">
      <alignment readingOrder="0" vertical="bottom"/>
    </xf>
    <xf borderId="1" fillId="8" fontId="10" numFmtId="0" xfId="0" applyAlignment="1" applyBorder="1" applyFont="1">
      <alignment horizontal="center" readingOrder="0" vertical="bottom"/>
    </xf>
    <xf borderId="1" fillId="8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readingOrder="0" vertical="bottom"/>
    </xf>
    <xf borderId="1" fillId="7" fontId="10" numFmtId="0" xfId="0" applyAlignment="1" applyBorder="1" applyFont="1">
      <alignment horizontal="left" readingOrder="0" vertical="bottom"/>
    </xf>
    <xf borderId="1" fillId="7" fontId="9" numFmtId="0" xfId="0" applyAlignment="1" applyBorder="1" applyFont="1">
      <alignment horizontal="center" vertical="bottom"/>
    </xf>
    <xf borderId="1" fillId="7" fontId="10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left" readingOrder="0"/>
    </xf>
    <xf borderId="1" fillId="6" fontId="9" numFmtId="0" xfId="0" applyAlignment="1" applyBorder="1" applyFont="1">
      <alignment horizontal="left" readingOrder="0"/>
    </xf>
    <xf borderId="1" fillId="8" fontId="9" numFmtId="0" xfId="0" applyAlignment="1" applyBorder="1" applyFont="1">
      <alignment horizontal="left" readingOrder="0"/>
    </xf>
    <xf borderId="1" fillId="7" fontId="9" numFmtId="0" xfId="0" applyAlignment="1" applyBorder="1" applyFont="1">
      <alignment horizontal="left" readingOrder="0"/>
    </xf>
    <xf borderId="1" fillId="6" fontId="10" numFmtId="0" xfId="0" applyAlignment="1" applyBorder="1" applyFont="1">
      <alignment horizontal="left" readingOrder="0" vertical="bottom"/>
    </xf>
    <xf borderId="1" fillId="6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/>
    </xf>
    <xf borderId="1" fillId="0" fontId="9" numFmtId="0" xfId="0" applyBorder="1" applyFont="1"/>
    <xf borderId="1" fillId="8" fontId="9" numFmtId="0" xfId="0" applyAlignment="1" applyBorder="1" applyFont="1">
      <alignment readingOrder="0"/>
    </xf>
    <xf borderId="1" fillId="8" fontId="9" numFmtId="0" xfId="0" applyAlignment="1" applyBorder="1" applyFont="1">
      <alignment horizontal="center" readingOrder="0"/>
    </xf>
    <xf borderId="1" fillId="7" fontId="9" numFmtId="0" xfId="0" applyAlignment="1" applyBorder="1" applyFont="1">
      <alignment horizontal="center" readingOrder="0"/>
    </xf>
    <xf borderId="1" fillId="7" fontId="9" numFmtId="0" xfId="0" applyAlignment="1" applyBorder="1" applyFont="1">
      <alignment readingOrder="0"/>
    </xf>
    <xf borderId="0" fillId="0" fontId="9" numFmtId="0" xfId="0" applyAlignment="1" applyFont="1">
      <alignment horizontal="left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readingOrder="0" vertical="bottom"/>
    </xf>
    <xf borderId="0" fillId="0" fontId="11" numFmtId="0" xfId="0" applyFont="1"/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left" readingOrder="0" vertical="bottom"/>
    </xf>
    <xf borderId="1" fillId="3" fontId="3" numFmtId="166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left"/>
    </xf>
    <xf borderId="1" fillId="3" fontId="4" numFmtId="0" xfId="0" applyAlignment="1" applyBorder="1" applyFont="1">
      <alignment readingOrder="0"/>
    </xf>
    <xf borderId="1" fillId="3" fontId="3" numFmtId="167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0" fillId="0" fontId="4" numFmtId="166" xfId="0" applyFont="1" applyNumberFormat="1"/>
    <xf borderId="0" fillId="5" fontId="12" numFmtId="0" xfId="0" applyAlignment="1" applyFont="1">
      <alignment horizontal="center" readingOrder="0" shrinkToFit="0" vertical="center" wrapText="0"/>
    </xf>
    <xf borderId="1" fillId="5" fontId="12" numFmtId="0" xfId="0" applyAlignment="1" applyBorder="1" applyFont="1">
      <alignment horizontal="center" readingOrder="0" shrinkToFit="0" vertical="center" wrapText="0"/>
    </xf>
    <xf borderId="1" fillId="5" fontId="12" numFmtId="49" xfId="0" applyAlignment="1" applyBorder="1" applyFont="1" applyNumberFormat="1">
      <alignment horizontal="center" readingOrder="0" shrinkToFit="0" vertical="center" wrapText="0"/>
    </xf>
    <xf borderId="1" fillId="5" fontId="12" numFmtId="0" xfId="0" applyAlignment="1" applyBorder="1" applyFont="1">
      <alignment horizontal="center" readingOrder="0" shrinkToFit="0" vertical="center" wrapText="0"/>
    </xf>
    <xf borderId="0" fillId="0" fontId="12" numFmtId="0" xfId="0" applyFont="1"/>
    <xf borderId="1" fillId="3" fontId="0" numFmtId="0" xfId="0" applyAlignment="1" applyBorder="1" applyFont="1">
      <alignment horizontal="center" readingOrder="0" shrinkToFit="0" vertical="center" wrapText="0"/>
    </xf>
    <xf borderId="1" fillId="3" fontId="0" numFmtId="164" xfId="0" applyAlignment="1" applyBorder="1" applyFont="1" applyNumberFormat="1">
      <alignment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3" fontId="0" numFmtId="0" xfId="0" applyAlignment="1" applyBorder="1" applyFont="1">
      <alignment readingOrder="0" shrinkToFit="0" vertical="center" wrapText="0"/>
    </xf>
    <xf borderId="0" fillId="0" fontId="0" numFmtId="0" xfId="0" applyFont="1"/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readingOrder="0" shrinkToFit="0" vertical="center" wrapText="0"/>
    </xf>
    <xf borderId="1" fillId="0" fontId="0" numFmtId="0" xfId="0" applyAlignment="1" applyBorder="1" applyFont="1">
      <alignment readingOrder="0" shrinkToFit="0" vertical="center" wrapText="0"/>
    </xf>
    <xf borderId="1" fillId="3" fontId="0" numFmtId="0" xfId="0" applyAlignment="1" applyBorder="1" applyFont="1">
      <alignment horizontal="center" readingOrder="0" shrinkToFit="0" vertical="center" wrapText="0"/>
    </xf>
    <xf borderId="1" fillId="3" fontId="0" numFmtId="0" xfId="0" applyAlignment="1" applyBorder="1" applyFont="1">
      <alignment readingOrder="0" shrinkToFit="0" vertical="center" wrapText="0"/>
    </xf>
    <xf borderId="1" fillId="3" fontId="13" numFmtId="164" xfId="0" applyAlignment="1" applyBorder="1" applyFont="1" applyNumberFormat="1">
      <alignment readingOrder="0" shrinkToFit="0" vertical="center" wrapText="0"/>
    </xf>
    <xf borderId="1" fillId="3" fontId="14" numFmtId="0" xfId="0" applyAlignment="1" applyBorder="1" applyFont="1">
      <alignment horizontal="center" readingOrder="0" shrinkToFit="0" vertical="center" wrapText="0"/>
    </xf>
    <xf borderId="1" fillId="3" fontId="15" numFmtId="0" xfId="0" applyAlignment="1" applyBorder="1" applyFont="1">
      <alignment horizontal="center" readingOrder="0" shrinkToFit="0" vertical="center" wrapText="0"/>
    </xf>
    <xf borderId="1" fillId="3" fontId="15" numFmtId="0" xfId="0" applyAlignment="1" applyBorder="1" applyFont="1">
      <alignment readingOrder="0" shrinkToFit="0" vertical="center" wrapText="0"/>
    </xf>
    <xf borderId="1" fillId="3" fontId="15" numFmtId="164" xfId="0" applyAlignment="1" applyBorder="1" applyFont="1" applyNumberFormat="1">
      <alignment readingOrder="0" shrinkToFit="0" vertical="center" wrapText="0"/>
    </xf>
    <xf borderId="1" fillId="3" fontId="13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horizontal="center"/>
    </xf>
    <xf borderId="0" fillId="3" fontId="4" numFmtId="0" xfId="0" applyAlignment="1" applyFont="1">
      <alignment vertical="center"/>
    </xf>
    <xf borderId="0" fillId="3" fontId="4" numFmtId="0" xfId="0" applyAlignment="1" applyFont="1">
      <alignment horizontal="center" readingOrder="0" vertical="center"/>
    </xf>
    <xf borderId="0" fillId="3" fontId="4" numFmtId="168" xfId="0" applyAlignment="1" applyFont="1" applyNumberFormat="1">
      <alignment horizontal="center" readingOrder="0" vertical="center"/>
    </xf>
    <xf borderId="0" fillId="3" fontId="4" numFmtId="0" xfId="0" applyAlignment="1" applyFont="1">
      <alignment readingOrder="0" vertical="center"/>
    </xf>
    <xf borderId="0" fillId="3" fontId="4" numFmtId="0" xfId="0" applyAlignment="1" applyFont="1">
      <alignment horizontal="right" readingOrder="0" vertical="center"/>
    </xf>
    <xf borderId="0" fillId="3" fontId="16" numFmtId="0" xfId="0" applyAlignment="1" applyFont="1">
      <alignment horizontal="center" readingOrder="0" shrinkToFit="0" vertical="center" wrapText="0"/>
    </xf>
    <xf borderId="0" fillId="3" fontId="16" numFmtId="0" xfId="0" applyAlignment="1" applyFont="1">
      <alignment horizontal="left" readingOrder="0"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0" fillId="3" fontId="13" numFmtId="0" xfId="0" applyAlignment="1" applyFont="1">
      <alignment vertical="center"/>
    </xf>
    <xf borderId="1" fillId="3" fontId="3" numFmtId="0" xfId="0" applyAlignment="1" applyBorder="1" applyFont="1">
      <alignment shrinkToFit="0" vertical="center" wrapText="0"/>
    </xf>
    <xf borderId="1" fillId="3" fontId="3" numFmtId="164" xfId="0" applyAlignment="1" applyBorder="1" applyFont="1" applyNumberFormat="1">
      <alignment shrinkToFit="0" vertical="center" wrapText="0"/>
    </xf>
    <xf borderId="0" fillId="3" fontId="3" numFmtId="0" xfId="0" applyAlignment="1" applyFont="1">
      <alignment vertical="center"/>
    </xf>
    <xf borderId="0" fillId="3" fontId="3" numFmtId="9" xfId="0" applyAlignment="1" applyFont="1" applyNumberFormat="1">
      <alignment horizontal="right" vertical="center"/>
    </xf>
    <xf borderId="1" fillId="3" fontId="3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164" xfId="0" applyAlignment="1" applyFont="1" applyNumberFormat="1">
      <alignment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2" numFmtId="0" xfId="0" applyAlignment="1" applyBorder="1" applyFont="1">
      <alignment readingOrder="0" vertical="bottom"/>
    </xf>
    <xf borderId="1" fillId="4" fontId="3" numFmtId="169" xfId="0" applyAlignment="1" applyBorder="1" applyFont="1" applyNumberFormat="1">
      <alignment horizontal="center" readingOrder="0" vertical="bottom"/>
    </xf>
    <xf borderId="1" fillId="4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left" readingOrder="0" vertical="bottom"/>
    </xf>
    <xf borderId="1" fillId="4" fontId="17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0" fontId="4" numFmtId="0" xfId="0" applyBorder="1" applyFont="1"/>
    <xf borderId="1" fillId="3" fontId="3" numFmtId="164" xfId="0" applyAlignment="1" applyBorder="1" applyFont="1" applyNumberFormat="1">
      <alignment vertical="bottom"/>
    </xf>
    <xf borderId="1" fillId="0" fontId="4" numFmtId="0" xfId="0" applyAlignment="1" applyBorder="1" applyFont="1">
      <alignment readingOrder="0"/>
    </xf>
    <xf borderId="1" fillId="0" fontId="4" numFmtId="168" xfId="0" applyAlignment="1" applyBorder="1" applyFont="1" applyNumberFormat="1">
      <alignment readingOrder="0"/>
    </xf>
    <xf borderId="1" fillId="0" fontId="4" numFmtId="170" xfId="0" applyAlignment="1" applyBorder="1" applyFont="1" applyNumberFormat="1">
      <alignment readingOrder="0"/>
    </xf>
    <xf borderId="1" fillId="0" fontId="3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readingOrder="0"/>
    </xf>
    <xf borderId="1" fillId="0" fontId="4" numFmtId="171" xfId="0" applyAlignment="1" applyBorder="1" applyFont="1" applyNumberFormat="1">
      <alignment readingOrder="0"/>
    </xf>
    <xf borderId="1" fillId="0" fontId="4" numFmtId="169" xfId="0" applyAlignment="1" applyBorder="1" applyFont="1" applyNumberFormat="1">
      <alignment readingOrder="0"/>
    </xf>
    <xf borderId="0" fillId="3" fontId="3" numFmtId="0" xfId="0" applyAlignment="1" applyFont="1">
      <alignment vertical="bottom"/>
    </xf>
    <xf borderId="0" fillId="3" fontId="3" numFmtId="164" xfId="0" applyAlignment="1" applyFont="1" applyNumberFormat="1">
      <alignment vertical="bottom"/>
    </xf>
    <xf borderId="0" fillId="3" fontId="3" numFmtId="164" xfId="0" applyAlignment="1" applyFont="1" applyNumberFormat="1">
      <alignment horizontal="right" vertical="bottom"/>
    </xf>
    <xf borderId="0" fillId="3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/>
    </xf>
    <xf borderId="0" fillId="3" fontId="3" numFmtId="0" xfId="0" applyAlignment="1" applyFont="1">
      <alignment readingOrder="0" vertical="bottom"/>
    </xf>
    <xf borderId="0" fillId="3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4" numFmtId="49" xfId="0" applyAlignment="1" applyBorder="1" applyFont="1" applyNumberFormat="1">
      <alignment horizontal="right" readingOrder="0"/>
    </xf>
    <xf borderId="1" fillId="0" fontId="4" numFmtId="165" xfId="0" applyAlignment="1" applyBorder="1" applyFont="1" applyNumberFormat="1">
      <alignment readingOrder="0"/>
    </xf>
    <xf borderId="0" fillId="0" fontId="4" numFmtId="165" xfId="0" applyAlignment="1" applyFont="1" applyNumberFormat="1">
      <alignment readingOrder="0"/>
    </xf>
    <xf borderId="1" fillId="0" fontId="4" numFmtId="165" xfId="0" applyBorder="1" applyFont="1" applyNumberFormat="1"/>
    <xf borderId="1" fillId="0" fontId="4" numFmtId="169" xfId="0" applyAlignment="1" applyBorder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4" fontId="1" numFmtId="0" xfId="0" applyAlignment="1" applyFont="1">
      <alignment horizontal="left" readingOrder="0" vertical="bottom"/>
    </xf>
    <xf borderId="0" fillId="4" fontId="1" numFmtId="0" xfId="0" applyAlignment="1" applyFont="1">
      <alignment horizontal="right" readingOrder="0" vertical="bottom"/>
    </xf>
    <xf borderId="0" fillId="4" fontId="1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3" numFmtId="164" xfId="0" applyAlignment="1" applyFont="1" applyNumberFormat="1">
      <alignment horizontal="center" vertical="bottom"/>
    </xf>
    <xf borderId="0" fillId="4" fontId="3" numFmtId="0" xfId="0" applyAlignment="1" applyFont="1">
      <alignment horizontal="left" readingOrder="0" vertical="bottom"/>
    </xf>
    <xf borderId="0" fillId="4" fontId="3" numFmtId="9" xfId="0" applyAlignment="1" applyFont="1" applyNumberFormat="1">
      <alignment horizontal="left" vertical="bottom"/>
    </xf>
    <xf borderId="0" fillId="4" fontId="3" numFmtId="9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center" readingOrder="0"/>
    </xf>
    <xf borderId="0" fillId="0" fontId="4" numFmtId="168" xfId="0" applyAlignment="1" applyFont="1" applyNumberFormat="1">
      <alignment horizontal="center" readingOrder="0"/>
    </xf>
    <xf borderId="0" fillId="0" fontId="4" numFmtId="0" xfId="0" applyAlignment="1" applyFont="1">
      <alignment horizontal="left"/>
    </xf>
    <xf borderId="0" fillId="0" fontId="4" numFmtId="0" xfId="0" applyFont="1"/>
    <xf borderId="0" fillId="3" fontId="18" numFmtId="0" xfId="0" applyAlignment="1" applyFont="1">
      <alignment horizontal="center" readingOrder="0" shrinkToFit="0" wrapText="0"/>
    </xf>
    <xf borderId="0" fillId="3" fontId="18" numFmtId="0" xfId="0" applyAlignment="1" applyFont="1">
      <alignment horizontal="left" readingOrder="0" shrinkToFit="0" wrapText="0"/>
    </xf>
    <xf borderId="0" fillId="3" fontId="18" numFmtId="165" xfId="0" applyAlignment="1" applyFont="1" applyNumberFormat="1">
      <alignment horizontal="center" shrinkToFit="0" wrapText="0"/>
    </xf>
    <xf borderId="0" fillId="3" fontId="18" numFmtId="165" xfId="0" applyAlignment="1" applyFont="1" applyNumberFormat="1">
      <alignment horizontal="left" shrinkToFit="0" wrapText="0"/>
    </xf>
    <xf borderId="0" fillId="3" fontId="16" numFmtId="0" xfId="0" applyAlignment="1" applyFont="1">
      <alignment horizontal="center" readingOrder="0" vertical="center"/>
    </xf>
    <xf borderId="0" fillId="3" fontId="18" numFmtId="0" xfId="0" applyAlignment="1" applyFont="1">
      <alignment horizontal="center" shrinkToFit="0" wrapText="0"/>
    </xf>
    <xf borderId="0" fillId="3" fontId="16" numFmtId="0" xfId="0" applyFont="1"/>
    <xf borderId="0" fillId="3" fontId="18" numFmtId="164" xfId="0" applyAlignment="1" applyFont="1" applyNumberFormat="1">
      <alignment horizontal="center" shrinkToFit="0" wrapText="0"/>
    </xf>
    <xf borderId="0" fillId="9" fontId="18" numFmtId="0" xfId="0" applyAlignment="1" applyFill="1" applyFont="1">
      <alignment horizontal="center" readingOrder="0" shrinkToFit="0" wrapText="0"/>
    </xf>
    <xf borderId="2" fillId="9" fontId="18" numFmtId="0" xfId="0" applyAlignment="1" applyBorder="1" applyFont="1">
      <alignment horizontal="center" shrinkToFit="0" wrapText="0"/>
    </xf>
    <xf borderId="3" fillId="9" fontId="18" numFmtId="164" xfId="0" applyAlignment="1" applyBorder="1" applyFont="1" applyNumberFormat="1">
      <alignment horizontal="center" shrinkToFit="0" wrapText="0"/>
    </xf>
    <xf borderId="3" fillId="9" fontId="18" numFmtId="0" xfId="0" applyAlignment="1" applyBorder="1" applyFont="1">
      <alignment horizontal="center" shrinkToFit="0" wrapText="0"/>
    </xf>
    <xf borderId="3" fillId="9" fontId="18" numFmtId="165" xfId="0" applyAlignment="1" applyBorder="1" applyFont="1" applyNumberFormat="1">
      <alignment horizontal="center" readingOrder="0" shrinkToFit="0" wrapText="0"/>
    </xf>
    <xf borderId="3" fillId="9" fontId="18" numFmtId="165" xfId="0" applyAlignment="1" applyBorder="1" applyFont="1" applyNumberFormat="1">
      <alignment horizontal="center" shrinkToFit="0" wrapText="0"/>
    </xf>
    <xf borderId="0" fillId="0" fontId="16" numFmtId="0" xfId="0" applyAlignment="1" applyFont="1">
      <alignment horizontal="center" readingOrder="0" vertical="center"/>
    </xf>
    <xf borderId="3" fillId="9" fontId="18" numFmtId="0" xfId="0" applyAlignment="1" applyBorder="1" applyFont="1">
      <alignment horizontal="center" readingOrder="0" shrinkToFit="0" wrapText="0"/>
    </xf>
    <xf borderId="0" fillId="0" fontId="16" numFmtId="0" xfId="0" applyFont="1"/>
    <xf borderId="1" fillId="3" fontId="15" numFmtId="0" xfId="0" applyAlignment="1" applyBorder="1" applyFont="1">
      <alignment readingOrder="0" shrinkToFit="0" wrapText="0"/>
    </xf>
    <xf borderId="1" fillId="3" fontId="15" numFmtId="164" xfId="0" applyAlignment="1" applyBorder="1" applyFont="1" applyNumberFormat="1">
      <alignment horizontal="right" shrinkToFit="0" wrapText="0"/>
    </xf>
    <xf borderId="1" fillId="3" fontId="15" numFmtId="165" xfId="0" applyAlignment="1" applyBorder="1" applyFont="1" applyNumberFormat="1">
      <alignment horizontal="center" readingOrder="0" shrinkToFit="0" wrapText="0"/>
    </xf>
    <xf borderId="1" fillId="3" fontId="15" numFmtId="165" xfId="0" applyAlignment="1" applyBorder="1" applyFont="1" applyNumberFormat="1">
      <alignment horizontal="left" shrinkToFit="0" wrapText="0"/>
    </xf>
    <xf borderId="1" fillId="3" fontId="15" numFmtId="165" xfId="0" applyAlignment="1" applyBorder="1" applyFont="1" applyNumberFormat="1">
      <alignment horizontal="right" shrinkToFit="0" wrapText="0"/>
    </xf>
    <xf borderId="0" fillId="0" fontId="4" numFmtId="0" xfId="0" applyAlignment="1" applyFont="1">
      <alignment readingOrder="0" vertical="center"/>
    </xf>
    <xf borderId="1" fillId="3" fontId="15" numFmtId="164" xfId="0" applyAlignment="1" applyBorder="1" applyFont="1" applyNumberFormat="1">
      <alignment horizontal="right" readingOrder="0" shrinkToFit="0" wrapText="0"/>
    </xf>
    <xf borderId="1" fillId="3" fontId="15" numFmtId="165" xfId="0" applyAlignment="1" applyBorder="1" applyFont="1" applyNumberFormat="1">
      <alignment horizontal="right" readingOrder="0" shrinkToFit="0" wrapText="0"/>
    </xf>
    <xf borderId="1" fillId="10" fontId="15" numFmtId="0" xfId="0" applyAlignment="1" applyBorder="1" applyFill="1" applyFont="1">
      <alignment readingOrder="0" shrinkToFit="0" wrapText="0"/>
    </xf>
    <xf borderId="1" fillId="10" fontId="15" numFmtId="164" xfId="0" applyAlignment="1" applyBorder="1" applyFont="1" applyNumberFormat="1">
      <alignment horizontal="right" shrinkToFit="0" wrapText="0"/>
    </xf>
    <xf borderId="1" fillId="10" fontId="15" numFmtId="165" xfId="0" applyAlignment="1" applyBorder="1" applyFont="1" applyNumberFormat="1">
      <alignment horizontal="center" readingOrder="0" shrinkToFit="0" wrapText="0"/>
    </xf>
    <xf borderId="1" fillId="10" fontId="15" numFmtId="165" xfId="0" applyAlignment="1" applyBorder="1" applyFont="1" applyNumberFormat="1">
      <alignment horizontal="left" readingOrder="0" shrinkToFit="0" wrapText="0"/>
    </xf>
    <xf borderId="1" fillId="10" fontId="15" numFmtId="165" xfId="0" applyAlignment="1" applyBorder="1" applyFont="1" applyNumberFormat="1">
      <alignment horizontal="right" readingOrder="0" shrinkToFit="0" wrapText="0"/>
    </xf>
    <xf borderId="1" fillId="10" fontId="15" numFmtId="164" xfId="0" applyAlignment="1" applyBorder="1" applyFont="1" applyNumberFormat="1">
      <alignment horizontal="right" readingOrder="0" shrinkToFit="0" wrapText="0"/>
    </xf>
    <xf borderId="1" fillId="10" fontId="15" numFmtId="0" xfId="0" applyAlignment="1" applyBorder="1" applyFont="1">
      <alignment readingOrder="0" shrinkToFit="0" wrapText="0"/>
    </xf>
    <xf borderId="1" fillId="3" fontId="15" numFmtId="0" xfId="0" applyAlignment="1" applyBorder="1" applyFont="1">
      <alignment shrinkToFit="0" wrapText="0"/>
    </xf>
    <xf borderId="1" fillId="3" fontId="15" numFmtId="165" xfId="0" applyAlignment="1" applyBorder="1" applyFont="1" applyNumberFormat="1">
      <alignment horizontal="left" readingOrder="0" shrinkToFit="0" wrapText="0"/>
    </xf>
    <xf borderId="1" fillId="10" fontId="15" numFmtId="165" xfId="0" applyAlignment="1" applyBorder="1" applyFont="1" applyNumberFormat="1">
      <alignment horizontal="right" readingOrder="0" shrinkToFit="0" vertical="bottom" wrapText="0"/>
    </xf>
    <xf borderId="1" fillId="3" fontId="15" numFmtId="0" xfId="0" applyAlignment="1" applyBorder="1" applyFont="1">
      <alignment shrinkToFit="0" wrapText="0"/>
    </xf>
    <xf borderId="1" fillId="3" fontId="15" numFmtId="0" xfId="0" applyAlignment="1" applyBorder="1" applyFont="1">
      <alignment readingOrder="0" shrinkToFit="0" wrapText="0"/>
    </xf>
    <xf borderId="1" fillId="3" fontId="15" numFmtId="0" xfId="0" applyAlignment="1" applyBorder="1" applyFont="1">
      <alignment shrinkToFit="0" wrapText="0"/>
    </xf>
    <xf borderId="1" fillId="10" fontId="15" numFmtId="0" xfId="0" applyAlignment="1" applyBorder="1" applyFont="1">
      <alignment shrinkToFit="0" wrapText="0"/>
    </xf>
    <xf borderId="1" fillId="3" fontId="15" numFmtId="0" xfId="0" applyAlignment="1" applyBorder="1" applyFont="1">
      <alignment shrinkToFit="0" wrapText="0"/>
    </xf>
    <xf borderId="1" fillId="10" fontId="15" numFmtId="0" xfId="0" applyAlignment="1" applyBorder="1" applyFont="1">
      <alignment shrinkToFit="0" wrapText="0"/>
    </xf>
    <xf borderId="1" fillId="10" fontId="15" numFmtId="165" xfId="0" applyAlignment="1" applyBorder="1" applyFont="1" applyNumberFormat="1">
      <alignment horizontal="right" shrinkToFit="0" wrapText="0"/>
    </xf>
    <xf borderId="1" fillId="0" fontId="3" numFmtId="164" xfId="0" applyAlignment="1" applyBorder="1" applyFont="1" applyNumberFormat="1">
      <alignment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left" readingOrder="0"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11" fontId="19" numFmtId="0" xfId="0" applyAlignment="1" applyFill="1" applyFont="1">
      <alignment horizontal="center" readingOrder="0" vertical="bottom"/>
    </xf>
    <xf borderId="0" fillId="11" fontId="19" numFmtId="165" xfId="0" applyAlignment="1" applyFont="1" applyNumberFormat="1">
      <alignment vertical="bottom"/>
    </xf>
    <xf borderId="1" fillId="10" fontId="15" numFmtId="0" xfId="0" applyAlignment="1" applyBorder="1" applyFont="1">
      <alignment readingOrder="0" shrinkToFit="0" vertical="bottom" wrapText="0"/>
    </xf>
    <xf borderId="1" fillId="10" fontId="15" numFmtId="164" xfId="0" applyAlignment="1" applyBorder="1" applyFont="1" applyNumberFormat="1">
      <alignment horizontal="right" readingOrder="0" shrinkToFit="0" vertical="bottom" wrapText="0"/>
    </xf>
    <xf borderId="1" fillId="10" fontId="15" numFmtId="165" xfId="0" applyAlignment="1" applyBorder="1" applyFont="1" applyNumberFormat="1">
      <alignment horizontal="center" readingOrder="0" shrinkToFit="0" vertical="bottom" wrapText="0"/>
    </xf>
    <xf borderId="1" fillId="10" fontId="15" numFmtId="165" xfId="0" applyAlignment="1" applyBorder="1" applyFont="1" applyNumberFormat="1">
      <alignment horizontal="left" readingOrder="0" shrinkToFit="0" vertical="bottom" wrapText="0"/>
    </xf>
    <xf borderId="0" fillId="0" fontId="4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left"/>
    </xf>
    <xf borderId="0" fillId="0" fontId="4" numFmtId="0" xfId="0" applyAlignment="1" applyFont="1">
      <alignment shrinkToFit="0" wrapText="1"/>
    </xf>
    <xf borderId="0" fillId="11" fontId="20" numFmtId="0" xfId="0" applyAlignment="1" applyFont="1">
      <alignment horizontal="center" readingOrder="0" vertical="bottom"/>
    </xf>
    <xf borderId="0" fillId="11" fontId="20" numFmtId="165" xfId="0" applyAlignment="1" applyFont="1" applyNumberFormat="1">
      <alignment horizontal="center" vertical="bottom"/>
    </xf>
    <xf borderId="0" fillId="11" fontId="20" numFmtId="165" xfId="0" applyAlignment="1" applyFont="1" applyNumberFormat="1">
      <alignment horizontal="left" vertical="bottom"/>
    </xf>
    <xf borderId="0" fillId="11" fontId="20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left" vertical="bottom"/>
    </xf>
    <xf borderId="0" fillId="0" fontId="3" numFmtId="165" xfId="0" applyAlignment="1" applyFont="1" applyNumberFormat="1">
      <alignment vertical="bottom"/>
    </xf>
    <xf borderId="0" fillId="0" fontId="4" numFmtId="0" xfId="0" applyAlignment="1" applyFont="1">
      <alignment horizontal="center"/>
    </xf>
    <xf borderId="0" fillId="5" fontId="16" numFmtId="0" xfId="0" applyAlignment="1" applyFont="1">
      <alignment horizontal="center" readingOrder="0" shrinkToFit="0" vertical="center" wrapText="0"/>
    </xf>
    <xf borderId="1" fillId="5" fontId="16" numFmtId="0" xfId="0" applyAlignment="1" applyBorder="1" applyFont="1">
      <alignment horizontal="center" readingOrder="0" shrinkToFit="0" vertical="center" wrapText="0"/>
    </xf>
    <xf borderId="1" fillId="5" fontId="16" numFmtId="49" xfId="0" applyAlignment="1" applyBorder="1" applyFont="1" applyNumberFormat="1">
      <alignment horizontal="center" readingOrder="0" shrinkToFit="0" vertical="center" wrapText="0"/>
    </xf>
    <xf borderId="1" fillId="5" fontId="16" numFmtId="0" xfId="0" applyAlignment="1" applyBorder="1" applyFont="1">
      <alignment horizontal="center" readingOrder="0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1" fillId="3" fontId="22" numFmtId="0" xfId="0" applyAlignment="1" applyBorder="1" applyFont="1">
      <alignment horizontal="center"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23" numFmtId="0" xfId="0" applyAlignment="1" applyBorder="1" applyFont="1">
      <alignment horizontal="center" readingOrder="0" shrinkToFit="0" vertical="center" wrapText="0"/>
    </xf>
    <xf borderId="1" fillId="3" fontId="21" numFmtId="0" xfId="0" applyAlignment="1" applyBorder="1" applyFont="1">
      <alignment readingOrder="0" shrinkToFit="0" vertical="center" wrapText="0"/>
    </xf>
    <xf borderId="1" fillId="3" fontId="21" numFmtId="164" xfId="0" applyAlignment="1" applyBorder="1" applyFont="1" applyNumberFormat="1">
      <alignment readingOrder="0" shrinkToFit="0" vertical="center" wrapText="0"/>
    </xf>
    <xf borderId="1" fillId="3" fontId="21" numFmtId="171" xfId="0" applyAlignment="1" applyBorder="1" applyFont="1" applyNumberFormat="1">
      <alignment horizontal="center" readingOrder="0" shrinkToFit="0" vertical="center" wrapText="0"/>
    </xf>
    <xf borderId="0" fillId="3" fontId="4" numFmtId="0" xfId="0" applyFont="1"/>
    <xf borderId="1" fillId="3" fontId="13" numFmtId="0" xfId="0" applyAlignment="1" applyBorder="1" applyFont="1">
      <alignment horizontal="center" readingOrder="0" shrinkToFit="0" vertical="center" wrapText="0"/>
    </xf>
    <xf borderId="1" fillId="3" fontId="14" numFmtId="0" xfId="0" applyAlignment="1" applyBorder="1" applyFont="1">
      <alignment horizontal="center" readingOrder="0" shrinkToFit="0" vertical="center" wrapText="0"/>
    </xf>
    <xf borderId="1" fillId="3" fontId="13" numFmtId="0" xfId="0" applyAlignment="1" applyBorder="1" applyFont="1">
      <alignment horizontal="center" shrinkToFit="0" vertical="center" wrapText="0"/>
    </xf>
    <xf borderId="1" fillId="3" fontId="13" numFmtId="0" xfId="0" applyAlignment="1" applyBorder="1" applyFont="1">
      <alignment readingOrder="0" shrinkToFit="0" vertical="center" wrapText="0"/>
    </xf>
    <xf borderId="1" fillId="3" fontId="13" numFmtId="164" xfId="0" applyAlignment="1" applyBorder="1" applyFont="1" applyNumberFormat="1">
      <alignment readingOrder="0" shrinkToFit="0" vertical="center" wrapText="0"/>
    </xf>
    <xf borderId="1" fillId="3" fontId="13" numFmtId="171" xfId="0" applyAlignment="1" applyBorder="1" applyFont="1" applyNumberFormat="1">
      <alignment horizontal="center" readingOrder="0" shrinkToFit="0" vertical="center" wrapText="0"/>
    </xf>
    <xf borderId="1" fillId="3" fontId="14" numFmtId="0" xfId="0" applyAlignment="1" applyBorder="1" applyFont="1">
      <alignment horizontal="center" shrinkToFit="0" vertical="center" wrapText="0"/>
    </xf>
    <xf borderId="1" fillId="3" fontId="22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13" numFmtId="164" xfId="0" applyAlignment="1" applyBorder="1" applyFont="1" applyNumberFormat="1">
      <alignment readingOrder="0" shrinkToFit="0" vertical="center" wrapText="0"/>
    </xf>
    <xf borderId="1" fillId="0" fontId="13" numFmtId="171" xfId="0" applyAlignment="1" applyBorder="1" applyFont="1" applyNumberFormat="1">
      <alignment horizontal="center" readingOrder="0" shrinkToFit="0" vertical="center" wrapText="0"/>
    </xf>
    <xf borderId="1" fillId="12" fontId="14" numFmtId="0" xfId="0" applyAlignment="1" applyBorder="1" applyFill="1" applyFont="1">
      <alignment horizontal="center" shrinkToFit="0" vertical="center" wrapText="0"/>
    </xf>
    <xf borderId="1" fillId="3" fontId="24" numFmtId="0" xfId="0" applyAlignment="1" applyBorder="1" applyFont="1">
      <alignment horizontal="center" readingOrder="0" shrinkToFit="0" vertical="center" wrapText="0"/>
    </xf>
    <xf borderId="1" fillId="3" fontId="25" numFmtId="0" xfId="0" applyAlignment="1" applyBorder="1" applyFont="1">
      <alignment horizontal="center" readingOrder="0" shrinkToFit="0" vertical="center" wrapText="0"/>
    </xf>
    <xf borderId="1" fillId="3" fontId="24" numFmtId="0" xfId="0" applyAlignment="1" applyBorder="1" applyFont="1">
      <alignment horizontal="center" shrinkToFit="0" vertical="center" wrapText="0"/>
    </xf>
    <xf borderId="1" fillId="3" fontId="25" numFmtId="0" xfId="0" applyAlignment="1" applyBorder="1" applyFont="1">
      <alignment readingOrder="0" shrinkToFit="0" vertical="center" wrapText="0"/>
    </xf>
    <xf borderId="1" fillId="3" fontId="25" numFmtId="0" xfId="0" applyAlignment="1" applyBorder="1" applyFont="1">
      <alignment shrinkToFit="0" vertical="center" wrapText="0"/>
    </xf>
    <xf borderId="1" fillId="3" fontId="25" numFmtId="164" xfId="0" applyAlignment="1" applyBorder="1" applyFont="1" applyNumberFormat="1">
      <alignment readingOrder="0" shrinkToFit="0" vertical="center" wrapText="0"/>
    </xf>
    <xf borderId="1" fillId="3" fontId="25" numFmtId="169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1" fillId="0" fontId="10" numFmtId="168" xfId="0" applyAlignment="1" applyBorder="1" applyFont="1" applyNumberFormat="1">
      <alignment horizontal="center" readingOrder="0" vertical="bottom"/>
    </xf>
    <xf borderId="1" fillId="0" fontId="10" numFmtId="168" xfId="0" applyAlignment="1" applyBorder="1" applyFont="1" applyNumberFormat="1">
      <alignment readingOrder="0" vertical="bottom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  <color rgb="FFCC0000"/>
      </font>
      <fill>
        <patternFill patternType="solid">
          <fgColor rgb="FFFFFFFF"/>
          <bgColor rgb="FFFFFFFF"/>
        </patternFill>
      </fill>
      <border/>
    </dxf>
    <dxf>
      <font>
        <color rgb="FF1155CC"/>
      </font>
      <fill>
        <patternFill patternType="solid">
          <fgColor rgb="FFFFFFFF"/>
          <bgColor rgb="FFFFFFFF"/>
        </patternFill>
      </fill>
      <border/>
    </dxf>
  </dxfs>
  <tableStyles count="15">
    <tableStyle count="4" pivot="0" name="EMBRI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PIRAÇÕES REALIZADA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SPIRAÇÕES REALIZADAS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SPIRAÇÕES REALIZADAS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SPIRAÇÕES REALIZADAS-style 4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SPIRAÇÕES REALIZADAS-style 5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SPIRAÇÕES REALIZADAS-style 6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SPIRAÇÕES REALIZADAS-style 7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3" pivot="0" name="ASPIRAÇÕES COMPRADAS-style">
      <tableStyleElement dxfId="6" type="headerRow"/>
      <tableStyleElement dxfId="2" type="firstRowStripe"/>
      <tableStyleElement dxfId="7" type="secondRowStripe"/>
    </tableStyle>
    <tableStyle count="2" pivot="0" name="CUSTO EMBRIÕES-style">
      <tableStyleElement dxfId="2" type="firstRowStripe"/>
      <tableStyleElement dxfId="7" type="secondRowStripe"/>
    </tableStyle>
    <tableStyle count="2" pivot="0" name="Machos-style">
      <tableStyleElement dxfId="7" type="firstRowStripe"/>
      <tableStyleElement dxfId="2" type="secondRowStripe"/>
    </tableStyle>
    <tableStyle count="3" pivot="0" name="Parcelas Compras e Vendas-style">
      <tableStyleElement dxfId="8" type="headerRow"/>
      <tableStyleElement dxfId="2" type="firstRowStripe"/>
      <tableStyleElement dxfId="7" type="secondRowStripe"/>
    </tableStyle>
    <tableStyle count="3" pivot="0" name="Parcelas Compras e Vendas-style 2">
      <tableStyleElement dxfId="8" type="headerRow"/>
      <tableStyleElement dxfId="2" type="firstRowStripe"/>
      <tableStyleElement dxfId="7" type="secondRowStripe"/>
    </tableStyle>
    <tableStyle count="4" pivot="0" name="T.E. 1 e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.E. 3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36" displayName="EMBRIÕES" name="EMBRIÕES" id="1">
  <autoFilter ref="$A$1:$O$136"/>
  <tableColumns count="15">
    <tableColumn name="QTD." id="1"/>
    <tableColumn name="DATA T.E." id="2"/>
    <tableColumn name="RESPONSAVEL" id="3"/>
    <tableColumn name="RECEPTORAS" id="4"/>
    <tableColumn name="BRINCO RECEPTORA" id="5"/>
    <tableColumn name="Nº REC/ABCZ" id="6"/>
    <tableColumn name="DOADORA" id="7"/>
    <tableColumn name="PAI DA PRENHEZ" id="8"/>
    <tableColumn name="Nº CDC-FIV" id="9"/>
    <tableColumn name="Nº ADT-TE" id="10"/>
    <tableColumn name="SEXAGEM" id="11"/>
    <tableColumn name="PARTO / NASC." id="12"/>
    <tableColumn name="NOME" id="13"/>
    <tableColumn name="RGN" id="14"/>
    <tableColumn name="DNA" id="15"/>
  </tableColumns>
  <tableStyleInfo name="EMBRIÕES-style" showColumnStripes="0" showFirstColumn="1" showLastColumn="1" showRowStripes="1"/>
</table>
</file>

<file path=xl/tables/table2.xml><?xml version="1.0" encoding="utf-8"?>
<table xmlns="http://schemas.openxmlformats.org/spreadsheetml/2006/main" ref="A3:H4" displayName="ASPIRAÇÃO_01" name="ASPIRAÇÃO_01" id="2">
  <tableColumns count="8">
    <tableColumn name="#" id="1"/>
    <tableColumn name="DOADORA" id="2"/>
    <tableColumn name="RGN" id="3"/>
    <tableColumn name="NASC." id="4"/>
    <tableColumn name="O. VIÁVEIS" id="5"/>
    <tableColumn name="TOURO" id="6"/>
    <tableColumn name="CONGELADOS DT" id="7"/>
    <tableColumn name="PRENHEZES" id="8"/>
  </tableColumns>
  <tableStyleInfo name="ASPIRAÇÕES REALIZADAS-style" showColumnStripes="0" showFirstColumn="1" showLastColumn="1" showRowStripes="1"/>
</table>
</file>

<file path=xl/tables/table3.xml><?xml version="1.0" encoding="utf-8"?>
<table xmlns="http://schemas.openxmlformats.org/spreadsheetml/2006/main" ref="A7:H18" displayName="ASPIRAÇÃO_02" name="ASPIRAÇÃO_02" id="3">
  <tableColumns count="8">
    <tableColumn name="#" id="1"/>
    <tableColumn name="DOADORA" id="2"/>
    <tableColumn name="RGN" id="3"/>
    <tableColumn name="NASC." id="4"/>
    <tableColumn name="O. VIÁVEIS" id="5"/>
    <tableColumn name="TOURO" id="6"/>
    <tableColumn name="IMPLANTADOS" id="7"/>
    <tableColumn name="VITRIFICADOS" id="8"/>
  </tableColumns>
  <tableStyleInfo name="ASPIRAÇÕES REALIZADAS-style 2" showColumnStripes="0" showFirstColumn="1" showLastColumn="1" showRowStripes="1"/>
</table>
</file>

<file path=xl/tables/table4.xml><?xml version="1.0" encoding="utf-8"?>
<table xmlns="http://schemas.openxmlformats.org/spreadsheetml/2006/main" ref="A21:H23" displayName="ASPIRAÇÃO_03" name="ASPIRAÇÃO_03" id="4">
  <tableColumns count="8">
    <tableColumn name="#" id="1"/>
    <tableColumn name="DOADORA" id="2"/>
    <tableColumn name="RGN" id="3"/>
    <tableColumn name="NASC." id="4"/>
    <tableColumn name="O. VIÁVEIS" id="5"/>
    <tableColumn name="TOURO" id="6"/>
    <tableColumn name="IMPLANTADOS" id="7"/>
    <tableColumn name="PRENHEZES" id="8"/>
  </tableColumns>
  <tableStyleInfo name="ASPIRAÇÕES REALIZADAS-style 3" showColumnStripes="0" showFirstColumn="1" showLastColumn="1" showRowStripes="1"/>
</table>
</file>

<file path=xl/tables/table5.xml><?xml version="1.0" encoding="utf-8"?>
<table xmlns="http://schemas.openxmlformats.org/spreadsheetml/2006/main" ref="A26:H27" displayName="ASPIRAÇÃO_04" name="ASPIRAÇÃO_04" id="5">
  <tableColumns count="8">
    <tableColumn name="#" id="1"/>
    <tableColumn name="DOADORA" id="2"/>
    <tableColumn name="RGN" id="3"/>
    <tableColumn name="NASC." id="4"/>
    <tableColumn name="O. VIÁVEIS" id="5"/>
    <tableColumn name="TOURO" id="6"/>
    <tableColumn name="IMPLANTADOS" id="7"/>
    <tableColumn name="PRENHEZES" id="8"/>
  </tableColumns>
  <tableStyleInfo name="ASPIRAÇÕES REALIZADAS-style 4" showColumnStripes="0" showFirstColumn="1" showLastColumn="1" showRowStripes="1"/>
</table>
</file>

<file path=xl/tables/table6.xml><?xml version="1.0" encoding="utf-8"?>
<table xmlns="http://schemas.openxmlformats.org/spreadsheetml/2006/main" ref="A30:H37" displayName="ASPIRAÇÃO_05" name="ASPIRAÇÃO_05" id="6">
  <autoFilter ref="$A$30:$H$37"/>
  <tableColumns count="8">
    <tableColumn name="#" id="1"/>
    <tableColumn name="DOADORA" id="2"/>
    <tableColumn name="RGN" id="3"/>
    <tableColumn name="NASC." id="4"/>
    <tableColumn name="O. VIÁVEIS" id="5"/>
    <tableColumn name="TOURO" id="6"/>
    <tableColumn name="IMPLANTADOS" id="7"/>
    <tableColumn name="PRENHEZES" id="8"/>
  </tableColumns>
  <tableStyleInfo name="ASPIRAÇÕES REALIZADAS-style 5" showColumnStripes="0" showFirstColumn="1" showLastColumn="1" showRowStripes="1"/>
</table>
</file>

<file path=xl/tables/table7.xml><?xml version="1.0" encoding="utf-8"?>
<table xmlns="http://schemas.openxmlformats.org/spreadsheetml/2006/main" ref="A40:H43" displayName="ASPIRAÇÃO_06" name="ASPIRAÇÃO_06" id="7">
  <tableColumns count="8">
    <tableColumn name="#" id="1"/>
    <tableColumn name="DOADORA" id="2"/>
    <tableColumn name="RGN" id="3"/>
    <tableColumn name="NASC." id="4"/>
    <tableColumn name="O. VIÁVEIS" id="5"/>
    <tableColumn name="TOURO" id="6"/>
    <tableColumn name="CONGELADOS DT" id="7"/>
    <tableColumn name="PRENHEZES" id="8"/>
  </tableColumns>
  <tableStyleInfo name="ASPIRAÇÕES REALIZADAS-style 6" showColumnStripes="0" showFirstColumn="1" showLastColumn="1" showRowStripes="1"/>
</table>
</file>

<file path=xl/tables/table8.xml><?xml version="1.0" encoding="utf-8"?>
<table xmlns="http://schemas.openxmlformats.org/spreadsheetml/2006/main" ref="A46:H47" displayName="ASPIRAÇÃO_07" name="ASPIRAÇÃO_07" id="8">
  <tableColumns count="8">
    <tableColumn name="#" id="1"/>
    <tableColumn name="DOADORA" id="2"/>
    <tableColumn name="RGN" id="3"/>
    <tableColumn name="NASC." id="4"/>
    <tableColumn name="O. VIÁVEIS" id="5"/>
    <tableColumn name="TOURO" id="6"/>
    <tableColumn name="IMPLANTADOS" id="7"/>
    <tableColumn name="PRENHEZES" id="8"/>
  </tableColumns>
  <tableStyleInfo name="ASPIRAÇÕES REALIZADAS-style 7" showColumnStripes="0" showFirstColumn="1" showLastColumn="1" showRowStripes="1"/>
</table>
</file>

<file path=xl/tables/table9.xml><?xml version="1.0" encoding="utf-8"?>
<table xmlns="http://schemas.openxmlformats.org/spreadsheetml/2006/main" ref="A1:O19" displayName="Table_1" name="Table_1" id="9">
  <tableColumns count="15">
    <tableColumn name="DOADORA" id="1"/>
    <tableColumn name="RGN" id="2"/>
    <tableColumn name="TOURO ACASALAMENTO" id="3"/>
    <tableColumn name="DATA ASPIRAÇÃO" id="4"/>
    <tableColumn name="OOCITOS VIÁVEIS" id="5"/>
    <tableColumn name="DATA DE IMPLANT. EMB." id="6"/>
    <tableColumn name="T.E." id="7"/>
    <tableColumn name="CONFIRMADOS" id="8"/>
    <tableColumn name="PREVISÃO PARTO" id="9"/>
    <tableColumn name="PAI DA MATRIZ" id="10"/>
    <tableColumn name="MÃE DA MATRIZ" id="11"/>
    <tableColumn name="AVÓ DA MATRIZ" id="12"/>
    <tableColumn name="EQUIPE/LABORATORIO" id="13"/>
    <tableColumn name="OBSERVAÇÃO" id="14"/>
    <tableColumn name="LOCALIZAÇÃO" id="15"/>
  </tableColumns>
  <tableStyleInfo name="ASPIRAÇÕES COMPRADAS-style" showColumnStripes="0" showFirstColumn="1" showLastColumn="1" showRowStripes="1"/>
</table>
</file>

<file path=xl/tables/table10.xml><?xml version="1.0" encoding="utf-8"?>
<table xmlns="http://schemas.openxmlformats.org/spreadsheetml/2006/main" headerRowCount="0" ref="A2:S5" displayName="Table_2" name="Table_2" id="1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USTO EMBRIÕES-style" showColumnStripes="0" showFirstColumn="1" showLastColumn="1" showRowStripes="1"/>
</table>
</file>

<file path=xl/tables/table11.xml><?xml version="1.0" encoding="utf-8"?>
<table xmlns="http://schemas.openxmlformats.org/spreadsheetml/2006/main" headerRowCount="0" ref="A3:L4" displayName="Table_3" name="Table_3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chos-style" showColumnStripes="0" showFirstColumn="1" showLastColumn="1" showRowStripes="1"/>
</table>
</file>

<file path=xl/tables/table12.xml><?xml version="1.0" encoding="utf-8"?>
<table xmlns="http://schemas.openxmlformats.org/spreadsheetml/2006/main" ref="A5:G51" displayName="Table_4" name="Table_4" id="12">
  <tableColumns count="7">
    <tableColumn name="QTD." id="1"/>
    <tableColumn name="LEILÃO" id="2"/>
    <tableColumn name="DATA COMPRA" id="3"/>
    <tableColumn name="PRODUTO" id="4"/>
    <tableColumn name="TIPO" id="5"/>
    <tableColumn name="VENDEDOR" id="6"/>
    <tableColumn name="VALOR PARCELA" id="7"/>
  </tableColumns>
  <tableStyleInfo name="Parcelas Compras e Vendas-style" showColumnStripes="0" showFirstColumn="1" showLastColumn="1" showRowStripes="1"/>
</table>
</file>

<file path=xl/tables/table13.xml><?xml version="1.0" encoding="utf-8"?>
<table xmlns="http://schemas.openxmlformats.org/spreadsheetml/2006/main" ref="I5:O36" displayName="Table_5" name="Table_5" id="13">
  <tableColumns count="7">
    <tableColumn name="QTD." id="1"/>
    <tableColumn name="LEILÃO" id="2"/>
    <tableColumn name="DATA VENDA" id="3"/>
    <tableColumn name="PRODUTO" id="4"/>
    <tableColumn name="TIPO" id="5"/>
    <tableColumn name="COMPRADOR" id="6"/>
    <tableColumn name="VALOR PARCELA" id="7"/>
  </tableColumns>
  <tableStyleInfo name="Parcelas Compras e Vendas-style 2" showColumnStripes="0" showFirstColumn="1" showLastColumn="1" showRowStripes="1"/>
</table>
</file>

<file path=xl/tables/table14.xml><?xml version="1.0" encoding="utf-8"?>
<table xmlns="http://schemas.openxmlformats.org/spreadsheetml/2006/main" ref="A1:K27" displayName="T.E._1" name="T.E._1" id="14">
  <autoFilter ref="$A$1:$K$27"/>
  <tableColumns count="11">
    <tableColumn name="QTD." id="1"/>
    <tableColumn name="T.E." id="2"/>
    <tableColumn name="ORIGEM" id="3"/>
    <tableColumn name="RECEPTORA" id="4"/>
    <tableColumn name="BRINCO ATUAL" id="5"/>
    <tableColumn name="DOADORA" id="6"/>
    <tableColumn name="EMBRIÃO" id="7"/>
    <tableColumn name="DATA" id="8"/>
    <tableColumn name="SEXO" id="9"/>
    <tableColumn name="P.P." id="10"/>
    <tableColumn name="NASCEU" id="11"/>
  </tableColumns>
  <tableStyleInfo name="T.E. 1 e 2-style" showColumnStripes="0" showFirstColumn="1" showLastColumn="1" showRowStripes="1"/>
</table>
</file>

<file path=xl/tables/table15.xml><?xml version="1.0" encoding="utf-8"?>
<table xmlns="http://schemas.openxmlformats.org/spreadsheetml/2006/main" ref="A1:I84" displayName="TE_03" name="TE_03" id="15">
  <autoFilter ref="$A$1:$I$84">
    <filterColumn colId="5">
      <filters>
        <filter val="Implante"/>
        <filter val="NÃO"/>
      </filters>
    </filterColumn>
    <filterColumn colId="7">
      <filters>
        <filter val="P+"/>
      </filters>
    </filterColumn>
  </autoFilter>
  <tableColumns count="9">
    <tableColumn name="Quant." id="1"/>
    <tableColumn name="Brinco" id="2"/>
    <tableColumn name="RECEPTORA" id="3"/>
    <tableColumn name="Peso" id="4"/>
    <tableColumn name="CLOE/CLOD" id="5"/>
    <tableColumn name="IMPLANTE" id="6"/>
    <tableColumn name="T.E." id="7"/>
    <tableColumn name="DG 02/10/25" id="8"/>
    <tableColumn name="BRINCO ANTIGO" id="9"/>
  </tableColumns>
  <tableStyleInfo name="T.E.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1.0"/>
    <col customWidth="1" min="4" max="4" width="10.63"/>
    <col customWidth="1" min="5" max="5" width="24.5"/>
    <col customWidth="1" min="6" max="6" width="26.0"/>
    <col customWidth="1" min="7" max="7" width="18.88"/>
    <col customWidth="1" min="8" max="8" width="25.5"/>
    <col customWidth="1" min="9" max="9" width="23.5"/>
    <col customWidth="1" min="10" max="10" width="23.75"/>
    <col customWidth="1" min="11" max="12" width="24.25"/>
    <col customWidth="1" min="13" max="13" width="15.13"/>
    <col customWidth="1" min="14" max="14" width="12.38"/>
    <col customWidth="1" min="15" max="15" width="7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3" t="s">
        <v>15</v>
      </c>
      <c r="Q1" s="3" t="s">
        <v>16</v>
      </c>
    </row>
    <row r="2">
      <c r="A2" s="6" t="s">
        <v>17</v>
      </c>
      <c r="B2" s="7" t="s">
        <v>18</v>
      </c>
      <c r="C2" s="8">
        <v>42992.0</v>
      </c>
      <c r="D2" s="9">
        <f t="shared" ref="D2:D33" si="1">DATEDIF(C2, TODAY(), "M")</f>
        <v>102</v>
      </c>
      <c r="E2" s="10" t="s">
        <v>19</v>
      </c>
      <c r="F2" s="10" t="s">
        <v>20</v>
      </c>
      <c r="G2" s="11" t="s">
        <v>21</v>
      </c>
      <c r="H2" s="12" t="s">
        <v>22</v>
      </c>
      <c r="I2" s="11" t="s">
        <v>23</v>
      </c>
      <c r="J2" s="7" t="s">
        <v>24</v>
      </c>
      <c r="K2" s="7" t="s">
        <v>25</v>
      </c>
      <c r="L2" s="7" t="s">
        <v>26</v>
      </c>
      <c r="M2" s="13">
        <v>1000.0</v>
      </c>
      <c r="N2" s="14">
        <v>0.25</v>
      </c>
      <c r="O2" s="7" t="s">
        <v>27</v>
      </c>
      <c r="P2" s="15"/>
      <c r="Q2" s="15"/>
    </row>
    <row r="3">
      <c r="A3" s="16" t="s">
        <v>28</v>
      </c>
      <c r="B3" s="16" t="s">
        <v>29</v>
      </c>
      <c r="C3" s="17">
        <v>43743.0</v>
      </c>
      <c r="D3" s="18">
        <f t="shared" si="1"/>
        <v>77</v>
      </c>
      <c r="E3" s="16" t="s">
        <v>30</v>
      </c>
      <c r="F3" s="19" t="s">
        <v>31</v>
      </c>
      <c r="G3" s="19" t="s">
        <v>32</v>
      </c>
      <c r="H3" s="19" t="s">
        <v>33</v>
      </c>
      <c r="I3" s="19" t="s">
        <v>34</v>
      </c>
      <c r="J3" s="16" t="s">
        <v>35</v>
      </c>
      <c r="K3" s="19"/>
      <c r="L3" s="19" t="s">
        <v>36</v>
      </c>
      <c r="M3" s="20">
        <v>24166.66</v>
      </c>
      <c r="N3" s="21">
        <v>0.5</v>
      </c>
      <c r="O3" s="22" t="s">
        <v>37</v>
      </c>
      <c r="P3" s="23"/>
      <c r="Q3" s="23"/>
    </row>
    <row r="4">
      <c r="A4" s="6" t="s">
        <v>38</v>
      </c>
      <c r="B4" s="7" t="s">
        <v>39</v>
      </c>
      <c r="C4" s="8">
        <v>44175.0</v>
      </c>
      <c r="D4" s="9">
        <f t="shared" si="1"/>
        <v>63</v>
      </c>
      <c r="E4" s="10" t="s">
        <v>19</v>
      </c>
      <c r="F4" s="10" t="s">
        <v>40</v>
      </c>
      <c r="G4" s="12" t="s">
        <v>41</v>
      </c>
      <c r="H4" s="12" t="s">
        <v>42</v>
      </c>
      <c r="I4" s="11" t="s">
        <v>43</v>
      </c>
      <c r="J4" s="7" t="s">
        <v>44</v>
      </c>
      <c r="K4" s="7"/>
      <c r="L4" s="7" t="s">
        <v>26</v>
      </c>
      <c r="M4" s="13">
        <v>0.0</v>
      </c>
      <c r="N4" s="14">
        <v>0.33</v>
      </c>
      <c r="O4" s="7" t="s">
        <v>45</v>
      </c>
      <c r="P4" s="15"/>
      <c r="Q4" s="15"/>
    </row>
    <row r="5">
      <c r="A5" s="24" t="s">
        <v>46</v>
      </c>
      <c r="B5" s="16" t="s">
        <v>47</v>
      </c>
      <c r="C5" s="25">
        <v>44245.0</v>
      </c>
      <c r="D5" s="18">
        <f t="shared" si="1"/>
        <v>61</v>
      </c>
      <c r="E5" s="26" t="s">
        <v>48</v>
      </c>
      <c r="F5" s="26" t="s">
        <v>49</v>
      </c>
      <c r="G5" s="19" t="s">
        <v>19</v>
      </c>
      <c r="H5" s="19" t="s">
        <v>50</v>
      </c>
      <c r="I5" s="19" t="s">
        <v>51</v>
      </c>
      <c r="J5" s="16" t="s">
        <v>52</v>
      </c>
      <c r="K5" s="16" t="s">
        <v>25</v>
      </c>
      <c r="L5" s="16" t="s">
        <v>26</v>
      </c>
      <c r="M5" s="27">
        <v>950.0</v>
      </c>
      <c r="N5" s="28">
        <v>1.0</v>
      </c>
      <c r="O5" s="26" t="s">
        <v>53</v>
      </c>
      <c r="P5" s="16" t="s">
        <v>54</v>
      </c>
      <c r="Q5" s="26"/>
    </row>
    <row r="6">
      <c r="A6" s="7" t="s">
        <v>55</v>
      </c>
      <c r="B6" s="7" t="s">
        <v>56</v>
      </c>
      <c r="C6" s="29">
        <v>44354.0</v>
      </c>
      <c r="D6" s="9">
        <f t="shared" si="1"/>
        <v>57</v>
      </c>
      <c r="E6" s="7" t="s">
        <v>48</v>
      </c>
      <c r="F6" s="7" t="s">
        <v>57</v>
      </c>
      <c r="G6" s="11" t="s">
        <v>58</v>
      </c>
      <c r="H6" s="11" t="s">
        <v>59</v>
      </c>
      <c r="I6" s="11" t="s">
        <v>60</v>
      </c>
      <c r="J6" s="7" t="s">
        <v>24</v>
      </c>
      <c r="K6" s="11"/>
      <c r="L6" s="7" t="s">
        <v>26</v>
      </c>
      <c r="M6" s="13">
        <v>1300.0</v>
      </c>
      <c r="N6" s="14">
        <v>1.0</v>
      </c>
      <c r="O6" s="10" t="s">
        <v>53</v>
      </c>
      <c r="P6" s="10"/>
      <c r="Q6" s="10"/>
    </row>
    <row r="7">
      <c r="A7" s="24" t="s">
        <v>61</v>
      </c>
      <c r="B7" s="16" t="s">
        <v>62</v>
      </c>
      <c r="C7" s="25">
        <v>44693.0</v>
      </c>
      <c r="D7" s="18">
        <f t="shared" si="1"/>
        <v>46</v>
      </c>
      <c r="E7" s="26" t="s">
        <v>30</v>
      </c>
      <c r="F7" s="26" t="s">
        <v>63</v>
      </c>
      <c r="G7" s="30" t="s">
        <v>64</v>
      </c>
      <c r="H7" s="30" t="s">
        <v>65</v>
      </c>
      <c r="I7" s="19" t="s">
        <v>66</v>
      </c>
      <c r="J7" s="16" t="s">
        <v>24</v>
      </c>
      <c r="K7" s="16"/>
      <c r="L7" s="16" t="s">
        <v>26</v>
      </c>
      <c r="M7" s="27">
        <v>375.0</v>
      </c>
      <c r="N7" s="31">
        <v>0.125</v>
      </c>
      <c r="O7" s="16" t="s">
        <v>67</v>
      </c>
      <c r="P7" s="32"/>
      <c r="Q7" s="32"/>
    </row>
    <row r="8">
      <c r="A8" s="33" t="s">
        <v>68</v>
      </c>
      <c r="B8" s="7" t="s">
        <v>69</v>
      </c>
      <c r="C8" s="8">
        <v>44899.0</v>
      </c>
      <c r="D8" s="9">
        <f t="shared" si="1"/>
        <v>39</v>
      </c>
      <c r="E8" s="10" t="s">
        <v>70</v>
      </c>
      <c r="F8" s="10" t="s">
        <v>71</v>
      </c>
      <c r="G8" s="11" t="s">
        <v>19</v>
      </c>
      <c r="H8" s="11" t="s">
        <v>72</v>
      </c>
      <c r="I8" s="11" t="s">
        <v>73</v>
      </c>
      <c r="J8" s="7" t="s">
        <v>74</v>
      </c>
      <c r="K8" s="7"/>
      <c r="L8" s="10" t="s">
        <v>75</v>
      </c>
      <c r="M8" s="13">
        <v>750.0</v>
      </c>
      <c r="N8" s="14">
        <v>0.25</v>
      </c>
      <c r="O8" s="7" t="s">
        <v>76</v>
      </c>
      <c r="P8" s="15"/>
      <c r="Q8" s="15"/>
    </row>
    <row r="9">
      <c r="A9" s="22" t="s">
        <v>77</v>
      </c>
      <c r="B9" s="16" t="s">
        <v>78</v>
      </c>
      <c r="C9" s="25">
        <v>44930.0</v>
      </c>
      <c r="D9" s="18">
        <f t="shared" si="1"/>
        <v>38</v>
      </c>
      <c r="E9" s="26" t="s">
        <v>19</v>
      </c>
      <c r="F9" s="26" t="s">
        <v>79</v>
      </c>
      <c r="G9" s="19" t="s">
        <v>30</v>
      </c>
      <c r="H9" s="19" t="s">
        <v>80</v>
      </c>
      <c r="I9" s="19" t="s">
        <v>81</v>
      </c>
      <c r="J9" s="16" t="s">
        <v>82</v>
      </c>
      <c r="K9" s="16"/>
      <c r="L9" s="16" t="s">
        <v>26</v>
      </c>
      <c r="M9" s="27">
        <v>1800.0</v>
      </c>
      <c r="N9" s="28">
        <v>1.0</v>
      </c>
      <c r="O9" s="16" t="s">
        <v>26</v>
      </c>
      <c r="P9" s="32"/>
      <c r="Q9" s="32"/>
    </row>
    <row r="10">
      <c r="A10" s="33" t="s">
        <v>83</v>
      </c>
      <c r="B10" s="7" t="s">
        <v>84</v>
      </c>
      <c r="C10" s="8">
        <v>45017.0</v>
      </c>
      <c r="D10" s="9">
        <f t="shared" si="1"/>
        <v>35</v>
      </c>
      <c r="E10" s="10" t="s">
        <v>30</v>
      </c>
      <c r="F10" s="10" t="s">
        <v>85</v>
      </c>
      <c r="G10" s="11" t="s">
        <v>19</v>
      </c>
      <c r="H10" s="11" t="s">
        <v>86</v>
      </c>
      <c r="I10" s="11" t="s">
        <v>87</v>
      </c>
      <c r="J10" s="7" t="s">
        <v>82</v>
      </c>
      <c r="K10" s="7"/>
      <c r="L10" s="7" t="s">
        <v>26</v>
      </c>
      <c r="M10" s="13">
        <v>0.0</v>
      </c>
      <c r="N10" s="14">
        <v>0.33</v>
      </c>
      <c r="O10" s="7" t="s">
        <v>45</v>
      </c>
      <c r="P10" s="15"/>
      <c r="Q10" s="15"/>
    </row>
    <row r="11">
      <c r="A11" s="24" t="s">
        <v>88</v>
      </c>
      <c r="B11" s="16" t="s">
        <v>89</v>
      </c>
      <c r="C11" s="25">
        <v>45031.0</v>
      </c>
      <c r="D11" s="18">
        <f t="shared" si="1"/>
        <v>35</v>
      </c>
      <c r="E11" s="26" t="s">
        <v>19</v>
      </c>
      <c r="F11" s="26" t="s">
        <v>90</v>
      </c>
      <c r="G11" s="19" t="s">
        <v>19</v>
      </c>
      <c r="H11" s="30" t="s">
        <v>91</v>
      </c>
      <c r="I11" s="19" t="s">
        <v>92</v>
      </c>
      <c r="J11" s="16" t="s">
        <v>93</v>
      </c>
      <c r="K11" s="26"/>
      <c r="L11" s="26" t="s">
        <v>75</v>
      </c>
      <c r="M11" s="27">
        <v>733.26</v>
      </c>
      <c r="N11" s="28">
        <v>0.33</v>
      </c>
      <c r="O11" s="26" t="s">
        <v>94</v>
      </c>
      <c r="P11" s="26"/>
      <c r="Q11" s="26"/>
    </row>
    <row r="12">
      <c r="A12" s="34" t="s">
        <v>95</v>
      </c>
      <c r="B12" s="7" t="s">
        <v>96</v>
      </c>
      <c r="C12" s="29">
        <v>45072.0</v>
      </c>
      <c r="D12" s="9">
        <f t="shared" si="1"/>
        <v>33</v>
      </c>
      <c r="E12" s="7" t="s">
        <v>97</v>
      </c>
      <c r="F12" s="7" t="s">
        <v>98</v>
      </c>
      <c r="G12" s="11" t="s">
        <v>99</v>
      </c>
      <c r="H12" s="11" t="s">
        <v>100</v>
      </c>
      <c r="I12" s="11" t="s">
        <v>101</v>
      </c>
      <c r="J12" s="7" t="s">
        <v>82</v>
      </c>
      <c r="K12" s="11"/>
      <c r="L12" s="11" t="s">
        <v>26</v>
      </c>
      <c r="M12" s="35">
        <v>350.0</v>
      </c>
      <c r="N12" s="36">
        <v>0.5</v>
      </c>
      <c r="O12" s="33" t="s">
        <v>102</v>
      </c>
      <c r="P12" s="37"/>
      <c r="Q12" s="37"/>
    </row>
    <row r="13">
      <c r="A13" s="24" t="s">
        <v>103</v>
      </c>
      <c r="B13" s="16" t="s">
        <v>104</v>
      </c>
      <c r="C13" s="17">
        <v>45108.0</v>
      </c>
      <c r="D13" s="18">
        <f t="shared" si="1"/>
        <v>32</v>
      </c>
      <c r="E13" s="26" t="s">
        <v>19</v>
      </c>
      <c r="F13" s="26" t="s">
        <v>105</v>
      </c>
      <c r="G13" s="19" t="s">
        <v>21</v>
      </c>
      <c r="H13" s="19" t="s">
        <v>106</v>
      </c>
      <c r="I13" s="19" t="s">
        <v>107</v>
      </c>
      <c r="J13" s="16" t="s">
        <v>108</v>
      </c>
      <c r="K13" s="16" t="s">
        <v>25</v>
      </c>
      <c r="L13" s="16" t="s">
        <v>26</v>
      </c>
      <c r="M13" s="27">
        <v>700.0</v>
      </c>
      <c r="N13" s="28">
        <v>1.0</v>
      </c>
      <c r="O13" s="26" t="s">
        <v>53</v>
      </c>
      <c r="P13" s="16" t="s">
        <v>109</v>
      </c>
      <c r="Q13" s="26"/>
    </row>
    <row r="14">
      <c r="A14" s="34" t="s">
        <v>110</v>
      </c>
      <c r="B14" s="7" t="s">
        <v>111</v>
      </c>
      <c r="C14" s="29">
        <v>45130.0</v>
      </c>
      <c r="D14" s="9">
        <f t="shared" si="1"/>
        <v>32</v>
      </c>
      <c r="E14" s="7" t="s">
        <v>112</v>
      </c>
      <c r="F14" s="7" t="s">
        <v>113</v>
      </c>
      <c r="G14" s="11" t="s">
        <v>114</v>
      </c>
      <c r="H14" s="11" t="s">
        <v>115</v>
      </c>
      <c r="I14" s="11" t="s">
        <v>116</v>
      </c>
      <c r="J14" s="7" t="s">
        <v>44</v>
      </c>
      <c r="K14" s="11"/>
      <c r="L14" s="11" t="s">
        <v>26</v>
      </c>
      <c r="M14" s="35">
        <v>875.0</v>
      </c>
      <c r="N14" s="36">
        <v>0.5</v>
      </c>
      <c r="O14" s="33" t="s">
        <v>102</v>
      </c>
      <c r="P14" s="37"/>
      <c r="Q14" s="37"/>
    </row>
    <row r="15">
      <c r="A15" s="24" t="s">
        <v>117</v>
      </c>
      <c r="B15" s="16" t="s">
        <v>118</v>
      </c>
      <c r="C15" s="25">
        <v>45285.0</v>
      </c>
      <c r="D15" s="18">
        <f t="shared" si="1"/>
        <v>26</v>
      </c>
      <c r="E15" s="26" t="s">
        <v>119</v>
      </c>
      <c r="F15" s="26" t="s">
        <v>120</v>
      </c>
      <c r="G15" s="19" t="s">
        <v>121</v>
      </c>
      <c r="H15" s="19" t="s">
        <v>122</v>
      </c>
      <c r="I15" s="19" t="s">
        <v>123</v>
      </c>
      <c r="J15" s="16" t="s">
        <v>82</v>
      </c>
      <c r="K15" s="16"/>
      <c r="L15" s="16" t="s">
        <v>124</v>
      </c>
      <c r="M15" s="27">
        <v>800.0</v>
      </c>
      <c r="N15" s="38">
        <v>0.5</v>
      </c>
      <c r="O15" s="16" t="s">
        <v>125</v>
      </c>
      <c r="P15" s="32"/>
      <c r="Q15" s="32"/>
    </row>
    <row r="16">
      <c r="A16" s="34" t="s">
        <v>126</v>
      </c>
      <c r="B16" s="7" t="s">
        <v>127</v>
      </c>
      <c r="C16" s="29">
        <v>45310.0</v>
      </c>
      <c r="D16" s="9">
        <f t="shared" si="1"/>
        <v>26</v>
      </c>
      <c r="E16" s="7" t="s">
        <v>128</v>
      </c>
      <c r="F16" s="7" t="s">
        <v>129</v>
      </c>
      <c r="G16" s="11" t="s">
        <v>130</v>
      </c>
      <c r="H16" s="11" t="s">
        <v>131</v>
      </c>
      <c r="I16" s="11" t="s">
        <v>132</v>
      </c>
      <c r="J16" s="7" t="s">
        <v>24</v>
      </c>
      <c r="K16" s="11"/>
      <c r="L16" s="11" t="s">
        <v>26</v>
      </c>
      <c r="M16" s="35">
        <v>400.0</v>
      </c>
      <c r="N16" s="36">
        <v>0.5</v>
      </c>
      <c r="O16" s="33" t="s">
        <v>102</v>
      </c>
      <c r="P16" s="37"/>
      <c r="Q16" s="37"/>
    </row>
    <row r="17">
      <c r="A17" s="22" t="s">
        <v>133</v>
      </c>
      <c r="B17" s="16" t="s">
        <v>134</v>
      </c>
      <c r="C17" s="25">
        <v>45373.0</v>
      </c>
      <c r="D17" s="18">
        <f t="shared" si="1"/>
        <v>24</v>
      </c>
      <c r="E17" s="26" t="s">
        <v>30</v>
      </c>
      <c r="F17" s="26" t="s">
        <v>135</v>
      </c>
      <c r="G17" s="19" t="s">
        <v>19</v>
      </c>
      <c r="H17" s="19" t="s">
        <v>136</v>
      </c>
      <c r="I17" s="19" t="s">
        <v>137</v>
      </c>
      <c r="J17" s="16" t="s">
        <v>24</v>
      </c>
      <c r="K17" s="16"/>
      <c r="L17" s="16" t="s">
        <v>26</v>
      </c>
      <c r="M17" s="27">
        <v>1000.0</v>
      </c>
      <c r="N17" s="28">
        <v>0.25</v>
      </c>
      <c r="O17" s="16" t="s">
        <v>138</v>
      </c>
      <c r="P17" s="32"/>
      <c r="Q17" s="32"/>
    </row>
    <row r="18">
      <c r="A18" s="7" t="s">
        <v>139</v>
      </c>
      <c r="B18" s="7" t="s">
        <v>140</v>
      </c>
      <c r="C18" s="29">
        <v>45398.0</v>
      </c>
      <c r="D18" s="9">
        <f t="shared" si="1"/>
        <v>23</v>
      </c>
      <c r="E18" s="7" t="s">
        <v>141</v>
      </c>
      <c r="F18" s="7" t="s">
        <v>142</v>
      </c>
      <c r="G18" s="11" t="s">
        <v>143</v>
      </c>
      <c r="H18" s="11" t="s">
        <v>144</v>
      </c>
      <c r="I18" s="11" t="s">
        <v>87</v>
      </c>
      <c r="J18" s="7" t="s">
        <v>82</v>
      </c>
      <c r="K18" s="7"/>
      <c r="L18" s="7" t="s">
        <v>26</v>
      </c>
      <c r="M18" s="13">
        <v>1300.0</v>
      </c>
      <c r="N18" s="14">
        <v>1.0</v>
      </c>
      <c r="O18" s="10" t="s">
        <v>53</v>
      </c>
      <c r="P18" s="7" t="s">
        <v>145</v>
      </c>
      <c r="Q18" s="10"/>
    </row>
    <row r="19">
      <c r="A19" s="24" t="s">
        <v>146</v>
      </c>
      <c r="B19" s="16" t="s">
        <v>147</v>
      </c>
      <c r="C19" s="25">
        <v>45419.0</v>
      </c>
      <c r="D19" s="18">
        <f t="shared" si="1"/>
        <v>22</v>
      </c>
      <c r="E19" s="26" t="s">
        <v>30</v>
      </c>
      <c r="F19" s="26" t="s">
        <v>148</v>
      </c>
      <c r="G19" s="19" t="s">
        <v>19</v>
      </c>
      <c r="H19" s="19" t="s">
        <v>149</v>
      </c>
      <c r="I19" s="19" t="s">
        <v>150</v>
      </c>
      <c r="J19" s="16" t="s">
        <v>151</v>
      </c>
      <c r="K19" s="16" t="s">
        <v>152</v>
      </c>
      <c r="L19" s="16" t="s">
        <v>26</v>
      </c>
      <c r="M19" s="27">
        <v>675.0</v>
      </c>
      <c r="N19" s="28">
        <v>0.5</v>
      </c>
      <c r="O19" s="16" t="s">
        <v>153</v>
      </c>
      <c r="P19" s="32"/>
      <c r="Q19" s="32"/>
    </row>
    <row r="20">
      <c r="A20" s="7" t="s">
        <v>154</v>
      </c>
      <c r="B20" s="7" t="s">
        <v>155</v>
      </c>
      <c r="C20" s="29">
        <v>45450.0</v>
      </c>
      <c r="D20" s="9">
        <f t="shared" si="1"/>
        <v>21</v>
      </c>
      <c r="E20" s="7" t="s">
        <v>19</v>
      </c>
      <c r="F20" s="7" t="s">
        <v>156</v>
      </c>
      <c r="G20" s="11" t="s">
        <v>30</v>
      </c>
      <c r="H20" s="11" t="s">
        <v>31</v>
      </c>
      <c r="I20" s="11" t="s">
        <v>33</v>
      </c>
      <c r="J20" s="7" t="s">
        <v>108</v>
      </c>
      <c r="K20" s="11" t="s">
        <v>25</v>
      </c>
      <c r="L20" s="7" t="s">
        <v>26</v>
      </c>
      <c r="M20" s="35">
        <v>1150.0</v>
      </c>
      <c r="N20" s="36">
        <v>1.0</v>
      </c>
      <c r="O20" s="10" t="s">
        <v>53</v>
      </c>
      <c r="P20" s="7" t="s">
        <v>157</v>
      </c>
      <c r="Q20" s="10"/>
    </row>
    <row r="21">
      <c r="A21" s="22" t="s">
        <v>158</v>
      </c>
      <c r="B21" s="16" t="s">
        <v>159</v>
      </c>
      <c r="C21" s="25">
        <v>45453.0</v>
      </c>
      <c r="D21" s="18">
        <f t="shared" si="1"/>
        <v>21</v>
      </c>
      <c r="E21" s="26" t="s">
        <v>30</v>
      </c>
      <c r="F21" s="26" t="s">
        <v>160</v>
      </c>
      <c r="G21" s="19" t="s">
        <v>19</v>
      </c>
      <c r="H21" s="19" t="s">
        <v>161</v>
      </c>
      <c r="I21" s="19" t="s">
        <v>162</v>
      </c>
      <c r="J21" s="16" t="s">
        <v>24</v>
      </c>
      <c r="K21" s="16" t="s">
        <v>25</v>
      </c>
      <c r="L21" s="16" t="s">
        <v>26</v>
      </c>
      <c r="M21" s="27">
        <v>3100.0</v>
      </c>
      <c r="N21" s="28">
        <v>1.0</v>
      </c>
      <c r="O21" s="16" t="s">
        <v>26</v>
      </c>
      <c r="P21" s="16" t="s">
        <v>163</v>
      </c>
      <c r="Q21" s="32"/>
    </row>
    <row r="22">
      <c r="A22" s="6" t="s">
        <v>164</v>
      </c>
      <c r="B22" s="7" t="s">
        <v>165</v>
      </c>
      <c r="C22" s="8">
        <v>45489.0</v>
      </c>
      <c r="D22" s="9">
        <f t="shared" si="1"/>
        <v>20</v>
      </c>
      <c r="E22" s="10" t="s">
        <v>19</v>
      </c>
      <c r="F22" s="10" t="s">
        <v>166</v>
      </c>
      <c r="G22" s="11" t="s">
        <v>21</v>
      </c>
      <c r="H22" s="11" t="s">
        <v>167</v>
      </c>
      <c r="I22" s="11" t="s">
        <v>107</v>
      </c>
      <c r="J22" s="7" t="s">
        <v>151</v>
      </c>
      <c r="K22" s="7" t="s">
        <v>25</v>
      </c>
      <c r="L22" s="7" t="s">
        <v>26</v>
      </c>
      <c r="M22" s="13">
        <v>470.0</v>
      </c>
      <c r="N22" s="14">
        <v>1.0</v>
      </c>
      <c r="O22" s="10" t="s">
        <v>53</v>
      </c>
      <c r="P22" s="7" t="s">
        <v>168</v>
      </c>
      <c r="Q22" s="10"/>
    </row>
    <row r="23">
      <c r="A23" s="24" t="s">
        <v>169</v>
      </c>
      <c r="B23" s="16" t="s">
        <v>170</v>
      </c>
      <c r="C23" s="25">
        <v>45533.0</v>
      </c>
      <c r="D23" s="18">
        <f t="shared" si="1"/>
        <v>18</v>
      </c>
      <c r="E23" s="26" t="s">
        <v>141</v>
      </c>
      <c r="F23" s="26" t="s">
        <v>148</v>
      </c>
      <c r="G23" s="19" t="s">
        <v>19</v>
      </c>
      <c r="H23" s="19" t="s">
        <v>149</v>
      </c>
      <c r="I23" s="19" t="s">
        <v>150</v>
      </c>
      <c r="J23" s="16" t="s">
        <v>151</v>
      </c>
      <c r="K23" s="16" t="s">
        <v>152</v>
      </c>
      <c r="L23" s="16" t="s">
        <v>26</v>
      </c>
      <c r="M23" s="27">
        <v>615.0</v>
      </c>
      <c r="N23" s="28">
        <v>0.5</v>
      </c>
      <c r="O23" s="16" t="s">
        <v>153</v>
      </c>
      <c r="P23" s="32"/>
      <c r="Q23" s="32"/>
    </row>
    <row r="24">
      <c r="A24" s="7" t="s">
        <v>171</v>
      </c>
      <c r="B24" s="7" t="s">
        <v>172</v>
      </c>
      <c r="C24" s="29">
        <v>45535.0</v>
      </c>
      <c r="D24" s="9">
        <f t="shared" si="1"/>
        <v>18</v>
      </c>
      <c r="E24" s="7" t="s">
        <v>173</v>
      </c>
      <c r="F24" s="7" t="s">
        <v>174</v>
      </c>
      <c r="G24" s="11" t="s">
        <v>175</v>
      </c>
      <c r="H24" s="11" t="s">
        <v>176</v>
      </c>
      <c r="I24" s="11" t="s">
        <v>177</v>
      </c>
      <c r="J24" s="7" t="s">
        <v>178</v>
      </c>
      <c r="K24" s="11"/>
      <c r="L24" s="11" t="s">
        <v>179</v>
      </c>
      <c r="M24" s="35">
        <f>(21000*30)/40</f>
        <v>15750</v>
      </c>
      <c r="N24" s="36">
        <v>0.5</v>
      </c>
      <c r="O24" s="33" t="s">
        <v>180</v>
      </c>
      <c r="P24" s="33" t="s">
        <v>181</v>
      </c>
      <c r="Q24" s="37"/>
    </row>
    <row r="25">
      <c r="A25" s="16" t="s">
        <v>182</v>
      </c>
      <c r="B25" s="16" t="s">
        <v>183</v>
      </c>
      <c r="C25" s="17">
        <v>45580.0</v>
      </c>
      <c r="D25" s="18">
        <f t="shared" si="1"/>
        <v>17</v>
      </c>
      <c r="E25" s="16" t="s">
        <v>19</v>
      </c>
      <c r="F25" s="16" t="s">
        <v>184</v>
      </c>
      <c r="G25" s="19" t="s">
        <v>30</v>
      </c>
      <c r="H25" s="19" t="s">
        <v>185</v>
      </c>
      <c r="I25" s="19" t="s">
        <v>186</v>
      </c>
      <c r="J25" s="16" t="s">
        <v>108</v>
      </c>
      <c r="K25" s="19" t="s">
        <v>25</v>
      </c>
      <c r="L25" s="19" t="s">
        <v>26</v>
      </c>
      <c r="M25" s="20">
        <v>620.0</v>
      </c>
      <c r="N25" s="21">
        <v>1.0</v>
      </c>
      <c r="O25" s="26" t="s">
        <v>53</v>
      </c>
      <c r="P25" s="16" t="s">
        <v>187</v>
      </c>
      <c r="Q25" s="26"/>
    </row>
    <row r="26">
      <c r="A26" s="7" t="s">
        <v>188</v>
      </c>
      <c r="B26" s="7" t="s">
        <v>189</v>
      </c>
      <c r="C26" s="29">
        <v>45609.0</v>
      </c>
      <c r="D26" s="9">
        <f t="shared" si="1"/>
        <v>16</v>
      </c>
      <c r="E26" s="7" t="s">
        <v>30</v>
      </c>
      <c r="F26" s="7" t="s">
        <v>190</v>
      </c>
      <c r="G26" s="11" t="s">
        <v>19</v>
      </c>
      <c r="H26" s="11" t="s">
        <v>191</v>
      </c>
      <c r="I26" s="11" t="s">
        <v>192</v>
      </c>
      <c r="J26" s="7" t="s">
        <v>24</v>
      </c>
      <c r="K26" s="39"/>
      <c r="L26" s="11" t="s">
        <v>26</v>
      </c>
      <c r="M26" s="35">
        <v>2325.0</v>
      </c>
      <c r="N26" s="36">
        <v>1.0</v>
      </c>
      <c r="O26" s="10" t="s">
        <v>53</v>
      </c>
      <c r="P26" s="37"/>
      <c r="Q26" s="37"/>
    </row>
    <row r="27">
      <c r="A27" s="16" t="s">
        <v>193</v>
      </c>
      <c r="B27" s="16" t="s">
        <v>194</v>
      </c>
      <c r="C27" s="17">
        <v>45662.0</v>
      </c>
      <c r="D27" s="18">
        <f t="shared" si="1"/>
        <v>14</v>
      </c>
      <c r="E27" s="16" t="s">
        <v>195</v>
      </c>
      <c r="F27" s="16" t="s">
        <v>77</v>
      </c>
      <c r="G27" s="19" t="s">
        <v>19</v>
      </c>
      <c r="H27" s="19" t="s">
        <v>196</v>
      </c>
      <c r="I27" s="19" t="s">
        <v>80</v>
      </c>
      <c r="J27" s="16" t="s">
        <v>24</v>
      </c>
      <c r="K27" s="16"/>
      <c r="L27" s="16" t="s">
        <v>26</v>
      </c>
      <c r="M27" s="27">
        <v>0.0</v>
      </c>
      <c r="N27" s="28">
        <v>1.0</v>
      </c>
      <c r="O27" s="26" t="s">
        <v>53</v>
      </c>
      <c r="P27" s="26"/>
      <c r="Q27" s="26"/>
    </row>
    <row r="28">
      <c r="A28" s="7" t="s">
        <v>197</v>
      </c>
      <c r="B28" s="7" t="s">
        <v>198</v>
      </c>
      <c r="C28" s="29">
        <v>45704.0</v>
      </c>
      <c r="D28" s="9">
        <f t="shared" si="1"/>
        <v>13</v>
      </c>
      <c r="E28" s="7" t="s">
        <v>141</v>
      </c>
      <c r="F28" s="11" t="s">
        <v>185</v>
      </c>
      <c r="G28" s="11" t="s">
        <v>143</v>
      </c>
      <c r="H28" s="11" t="s">
        <v>186</v>
      </c>
      <c r="I28" s="11" t="s">
        <v>199</v>
      </c>
      <c r="J28" s="7" t="s">
        <v>24</v>
      </c>
      <c r="K28" s="11"/>
      <c r="L28" s="11" t="s">
        <v>26</v>
      </c>
      <c r="M28" s="35">
        <v>700.0</v>
      </c>
      <c r="N28" s="36">
        <v>1.0</v>
      </c>
      <c r="O28" s="10" t="s">
        <v>53</v>
      </c>
      <c r="P28" s="37"/>
      <c r="Q28" s="37"/>
    </row>
    <row r="29">
      <c r="A29" s="16" t="s">
        <v>200</v>
      </c>
      <c r="B29" s="16" t="s">
        <v>201</v>
      </c>
      <c r="C29" s="17">
        <v>45712.0</v>
      </c>
      <c r="D29" s="18">
        <f t="shared" si="1"/>
        <v>13</v>
      </c>
      <c r="E29" s="16" t="s">
        <v>202</v>
      </c>
      <c r="F29" s="16" t="s">
        <v>203</v>
      </c>
      <c r="G29" s="19" t="s">
        <v>30</v>
      </c>
      <c r="H29" s="19" t="s">
        <v>204</v>
      </c>
      <c r="I29" s="19" t="s">
        <v>60</v>
      </c>
      <c r="J29" s="16" t="s">
        <v>205</v>
      </c>
      <c r="K29" s="16"/>
      <c r="L29" s="16" t="s">
        <v>26</v>
      </c>
      <c r="M29" s="27">
        <v>450.0</v>
      </c>
      <c r="N29" s="28">
        <v>1.0</v>
      </c>
      <c r="O29" s="26" t="s">
        <v>53</v>
      </c>
      <c r="P29" s="26"/>
      <c r="Q29" s="26"/>
    </row>
    <row r="30">
      <c r="A30" s="7" t="s">
        <v>206</v>
      </c>
      <c r="B30" s="7" t="s">
        <v>207</v>
      </c>
      <c r="C30" s="29">
        <v>45713.0</v>
      </c>
      <c r="D30" s="9">
        <f t="shared" si="1"/>
        <v>12</v>
      </c>
      <c r="E30" s="7" t="s">
        <v>202</v>
      </c>
      <c r="F30" s="7" t="s">
        <v>203</v>
      </c>
      <c r="G30" s="11" t="s">
        <v>30</v>
      </c>
      <c r="H30" s="11" t="s">
        <v>204</v>
      </c>
      <c r="I30" s="11" t="s">
        <v>60</v>
      </c>
      <c r="J30" s="7" t="s">
        <v>205</v>
      </c>
      <c r="K30" s="7"/>
      <c r="L30" s="7" t="s">
        <v>26</v>
      </c>
      <c r="M30" s="13">
        <v>450.0</v>
      </c>
      <c r="N30" s="14">
        <v>1.0</v>
      </c>
      <c r="O30" s="10" t="s">
        <v>53</v>
      </c>
      <c r="P30" s="10"/>
      <c r="Q30" s="10"/>
    </row>
    <row r="31">
      <c r="A31" s="16" t="s">
        <v>208</v>
      </c>
      <c r="B31" s="16" t="s">
        <v>209</v>
      </c>
      <c r="C31" s="17">
        <v>45717.0</v>
      </c>
      <c r="D31" s="18">
        <f t="shared" si="1"/>
        <v>12</v>
      </c>
      <c r="E31" s="16" t="s">
        <v>19</v>
      </c>
      <c r="F31" s="16" t="s">
        <v>210</v>
      </c>
      <c r="G31" s="19" t="s">
        <v>211</v>
      </c>
      <c r="H31" s="19" t="s">
        <v>212</v>
      </c>
      <c r="I31" s="19" t="s">
        <v>213</v>
      </c>
      <c r="J31" s="16" t="s">
        <v>205</v>
      </c>
      <c r="K31" s="40"/>
      <c r="L31" s="19" t="s">
        <v>214</v>
      </c>
      <c r="M31" s="20">
        <v>1500.0</v>
      </c>
      <c r="N31" s="21">
        <v>0.5</v>
      </c>
      <c r="O31" s="22" t="s">
        <v>215</v>
      </c>
      <c r="P31" s="23"/>
      <c r="Q31" s="23"/>
    </row>
    <row r="32">
      <c r="A32" s="7" t="s">
        <v>216</v>
      </c>
      <c r="B32" s="7" t="s">
        <v>217</v>
      </c>
      <c r="C32" s="29">
        <v>45868.0</v>
      </c>
      <c r="D32" s="9">
        <f t="shared" si="1"/>
        <v>7</v>
      </c>
      <c r="E32" s="7" t="s">
        <v>30</v>
      </c>
      <c r="F32" s="7" t="s">
        <v>218</v>
      </c>
      <c r="G32" s="11" t="s">
        <v>19</v>
      </c>
      <c r="H32" s="11" t="s">
        <v>219</v>
      </c>
      <c r="I32" s="11" t="s">
        <v>220</v>
      </c>
      <c r="J32" s="7" t="s">
        <v>205</v>
      </c>
      <c r="K32" s="39"/>
      <c r="L32" s="11" t="s">
        <v>221</v>
      </c>
      <c r="M32" s="35">
        <v>600.0</v>
      </c>
      <c r="N32" s="36">
        <v>1.0</v>
      </c>
      <c r="O32" s="10" t="s">
        <v>53</v>
      </c>
      <c r="P32" s="37"/>
      <c r="Q32" s="37"/>
    </row>
    <row r="33">
      <c r="A33" s="16" t="s">
        <v>222</v>
      </c>
      <c r="B33" s="16" t="s">
        <v>223</v>
      </c>
      <c r="C33" s="17">
        <v>45876.0</v>
      </c>
      <c r="D33" s="18">
        <f t="shared" si="1"/>
        <v>7</v>
      </c>
      <c r="E33" s="16" t="s">
        <v>224</v>
      </c>
      <c r="F33" s="16" t="s">
        <v>71</v>
      </c>
      <c r="G33" s="19" t="s">
        <v>19</v>
      </c>
      <c r="H33" s="19" t="s">
        <v>72</v>
      </c>
      <c r="I33" s="19" t="s">
        <v>73</v>
      </c>
      <c r="J33" s="16" t="s">
        <v>205</v>
      </c>
      <c r="K33" s="19"/>
      <c r="L33" s="19" t="s">
        <v>26</v>
      </c>
      <c r="M33" s="20">
        <v>0.0</v>
      </c>
      <c r="N33" s="21">
        <v>1.0</v>
      </c>
      <c r="O33" s="26" t="s">
        <v>53</v>
      </c>
      <c r="P33" s="23"/>
      <c r="Q33" s="23"/>
    </row>
    <row r="34">
      <c r="A34" s="15"/>
      <c r="B34" s="15"/>
      <c r="C34" s="29"/>
      <c r="D34" s="9"/>
      <c r="E34" s="15"/>
      <c r="F34" s="15"/>
      <c r="G34" s="41"/>
      <c r="H34" s="41"/>
      <c r="I34" s="41"/>
      <c r="J34" s="15"/>
      <c r="K34" s="39"/>
      <c r="L34" s="39"/>
      <c r="M34" s="42"/>
      <c r="N34" s="10"/>
      <c r="O34" s="37"/>
      <c r="P34" s="37"/>
      <c r="Q34" s="37"/>
    </row>
    <row r="35">
      <c r="A35" s="32"/>
      <c r="B35" s="32"/>
      <c r="C35" s="17"/>
      <c r="D35" s="43"/>
      <c r="E35" s="32"/>
      <c r="F35" s="32"/>
      <c r="G35" s="44"/>
      <c r="H35" s="44"/>
      <c r="I35" s="44"/>
      <c r="J35" s="32"/>
      <c r="K35" s="40"/>
      <c r="L35" s="40"/>
      <c r="M35" s="45"/>
      <c r="N35" s="26"/>
      <c r="O35" s="23"/>
      <c r="P35" s="23"/>
      <c r="Q35" s="23"/>
    </row>
    <row r="36">
      <c r="A36" s="15"/>
      <c r="B36" s="15"/>
      <c r="C36" s="29"/>
      <c r="D36" s="46"/>
      <c r="E36" s="15"/>
      <c r="F36" s="15"/>
      <c r="G36" s="41"/>
      <c r="H36" s="41"/>
      <c r="I36" s="41"/>
      <c r="J36" s="15"/>
      <c r="K36" s="39"/>
      <c r="L36" s="39"/>
      <c r="M36" s="42"/>
      <c r="N36" s="10"/>
      <c r="O36" s="37"/>
      <c r="P36" s="37"/>
      <c r="Q36" s="37"/>
    </row>
    <row r="37">
      <c r="A37" s="32"/>
      <c r="B37" s="32"/>
      <c r="C37" s="17"/>
      <c r="D37" s="43"/>
      <c r="E37" s="32"/>
      <c r="F37" s="32"/>
      <c r="G37" s="44"/>
      <c r="H37" s="44"/>
      <c r="I37" s="44"/>
      <c r="J37" s="32"/>
      <c r="K37" s="40"/>
      <c r="L37" s="40"/>
      <c r="M37" s="45"/>
      <c r="N37" s="26"/>
      <c r="O37" s="23"/>
      <c r="P37" s="23"/>
      <c r="Q37" s="23"/>
    </row>
    <row r="38">
      <c r="A38" s="15"/>
      <c r="B38" s="15"/>
      <c r="C38" s="29"/>
      <c r="D38" s="46"/>
      <c r="E38" s="15"/>
      <c r="F38" s="15"/>
      <c r="G38" s="41"/>
      <c r="H38" s="41"/>
      <c r="I38" s="41"/>
      <c r="J38" s="15"/>
      <c r="K38" s="39"/>
      <c r="L38" s="39"/>
      <c r="M38" s="42"/>
      <c r="N38" s="10"/>
      <c r="O38" s="37"/>
      <c r="P38" s="37"/>
      <c r="Q38" s="37"/>
    </row>
    <row r="39">
      <c r="A39" s="32"/>
      <c r="B39" s="32"/>
      <c r="C39" s="17"/>
      <c r="D39" s="43"/>
      <c r="E39" s="32"/>
      <c r="F39" s="32"/>
      <c r="G39" s="44"/>
      <c r="H39" s="44"/>
      <c r="I39" s="44"/>
      <c r="J39" s="32"/>
      <c r="K39" s="40"/>
      <c r="L39" s="40"/>
      <c r="M39" s="45"/>
      <c r="N39" s="26"/>
      <c r="O39" s="23"/>
      <c r="P39" s="23"/>
      <c r="Q39" s="23"/>
    </row>
    <row r="40">
      <c r="A40" s="15"/>
      <c r="B40" s="15"/>
      <c r="C40" s="29"/>
      <c r="D40" s="46"/>
      <c r="E40" s="15"/>
      <c r="F40" s="15"/>
      <c r="G40" s="41"/>
      <c r="H40" s="41"/>
      <c r="I40" s="41"/>
      <c r="J40" s="15"/>
      <c r="K40" s="39"/>
      <c r="L40" s="39"/>
      <c r="M40" s="42"/>
      <c r="N40" s="10"/>
      <c r="O40" s="37"/>
      <c r="P40" s="37"/>
      <c r="Q40" s="37"/>
    </row>
    <row r="41">
      <c r="A41" s="32"/>
      <c r="B41" s="32"/>
      <c r="C41" s="17"/>
      <c r="D41" s="43"/>
      <c r="E41" s="32"/>
      <c r="F41" s="32"/>
      <c r="G41" s="44"/>
      <c r="H41" s="44"/>
      <c r="I41" s="44"/>
      <c r="J41" s="32"/>
      <c r="K41" s="40"/>
      <c r="L41" s="40"/>
      <c r="M41" s="45"/>
      <c r="N41" s="26"/>
      <c r="O41" s="23"/>
      <c r="P41" s="23"/>
      <c r="Q41" s="23"/>
    </row>
    <row r="42">
      <c r="A42" s="15"/>
      <c r="B42" s="15"/>
      <c r="C42" s="29"/>
      <c r="D42" s="46"/>
      <c r="E42" s="15"/>
      <c r="F42" s="15"/>
      <c r="G42" s="41"/>
      <c r="H42" s="41"/>
      <c r="I42" s="41"/>
      <c r="J42" s="15"/>
      <c r="K42" s="39"/>
      <c r="L42" s="39"/>
      <c r="M42" s="42"/>
      <c r="N42" s="10"/>
      <c r="O42" s="37"/>
      <c r="P42" s="37"/>
      <c r="Q42" s="37"/>
    </row>
    <row r="43">
      <c r="A43" s="32"/>
      <c r="B43" s="32"/>
      <c r="C43" s="17"/>
      <c r="D43" s="43"/>
      <c r="E43" s="32"/>
      <c r="F43" s="32"/>
      <c r="G43" s="44"/>
      <c r="H43" s="44"/>
      <c r="I43" s="44"/>
      <c r="J43" s="32"/>
      <c r="K43" s="40"/>
      <c r="L43" s="40"/>
      <c r="M43" s="45"/>
      <c r="N43" s="26"/>
      <c r="O43" s="23"/>
      <c r="P43" s="23"/>
      <c r="Q43" s="23"/>
    </row>
    <row r="44">
      <c r="A44" s="15"/>
      <c r="B44" s="15"/>
      <c r="C44" s="29"/>
      <c r="D44" s="46"/>
      <c r="E44" s="15"/>
      <c r="F44" s="15"/>
      <c r="G44" s="41"/>
      <c r="H44" s="41"/>
      <c r="I44" s="41"/>
      <c r="J44" s="15"/>
      <c r="K44" s="39"/>
      <c r="L44" s="39"/>
      <c r="M44" s="42"/>
      <c r="N44" s="10"/>
      <c r="O44" s="37"/>
      <c r="P44" s="37"/>
      <c r="Q44" s="37"/>
    </row>
    <row r="45">
      <c r="A45" s="32"/>
      <c r="B45" s="32"/>
      <c r="C45" s="17"/>
      <c r="D45" s="43"/>
      <c r="E45" s="32"/>
      <c r="F45" s="32"/>
      <c r="G45" s="44"/>
      <c r="H45" s="44"/>
      <c r="I45" s="44"/>
      <c r="J45" s="32"/>
      <c r="K45" s="40"/>
      <c r="L45" s="40"/>
      <c r="M45" s="45"/>
      <c r="N45" s="26"/>
      <c r="O45" s="23"/>
      <c r="P45" s="23"/>
      <c r="Q45" s="23"/>
    </row>
    <row r="46">
      <c r="A46" s="15"/>
      <c r="B46" s="15"/>
      <c r="C46" s="29"/>
      <c r="D46" s="46"/>
      <c r="E46" s="15"/>
      <c r="F46" s="15"/>
      <c r="G46" s="41"/>
      <c r="H46" s="41"/>
      <c r="I46" s="41"/>
      <c r="J46" s="15"/>
      <c r="K46" s="39"/>
      <c r="L46" s="39"/>
      <c r="M46" s="42"/>
      <c r="N46" s="10"/>
      <c r="O46" s="37"/>
      <c r="P46" s="37"/>
      <c r="Q46" s="37"/>
    </row>
    <row r="47">
      <c r="A47" s="32"/>
      <c r="B47" s="32"/>
      <c r="C47" s="17"/>
      <c r="D47" s="43"/>
      <c r="E47" s="32"/>
      <c r="F47" s="32"/>
      <c r="G47" s="44"/>
      <c r="H47" s="44"/>
      <c r="I47" s="44"/>
      <c r="J47" s="32"/>
      <c r="K47" s="40"/>
      <c r="L47" s="40"/>
      <c r="M47" s="45"/>
      <c r="N47" s="26"/>
      <c r="O47" s="23"/>
      <c r="P47" s="23"/>
      <c r="Q47" s="23"/>
    </row>
    <row r="48">
      <c r="A48" s="15"/>
      <c r="B48" s="15"/>
      <c r="C48" s="29"/>
      <c r="D48" s="46"/>
      <c r="E48" s="15"/>
      <c r="F48" s="15"/>
      <c r="G48" s="41"/>
      <c r="H48" s="41"/>
      <c r="I48" s="41"/>
      <c r="J48" s="15"/>
      <c r="K48" s="39"/>
      <c r="L48" s="39"/>
      <c r="M48" s="42"/>
      <c r="N48" s="10"/>
      <c r="O48" s="37"/>
      <c r="P48" s="37"/>
      <c r="Q48" s="37"/>
    </row>
    <row r="49">
      <c r="A49" s="32"/>
      <c r="B49" s="32"/>
      <c r="C49" s="17"/>
      <c r="D49" s="43"/>
      <c r="E49" s="32"/>
      <c r="F49" s="32"/>
      <c r="G49" s="44"/>
      <c r="H49" s="44"/>
      <c r="I49" s="44"/>
      <c r="J49" s="32"/>
      <c r="K49" s="40"/>
      <c r="L49" s="40"/>
      <c r="M49" s="45"/>
      <c r="N49" s="26"/>
      <c r="O49" s="23"/>
      <c r="P49" s="23"/>
      <c r="Q49" s="23"/>
    </row>
    <row r="50">
      <c r="A50" s="15"/>
      <c r="B50" s="15"/>
      <c r="C50" s="29"/>
      <c r="D50" s="46"/>
      <c r="E50" s="15"/>
      <c r="F50" s="15"/>
      <c r="G50" s="41"/>
      <c r="H50" s="41"/>
      <c r="I50" s="41"/>
      <c r="J50" s="15"/>
      <c r="K50" s="39"/>
      <c r="L50" s="39"/>
      <c r="M50" s="42"/>
      <c r="N50" s="10"/>
      <c r="O50" s="37"/>
      <c r="P50" s="37"/>
      <c r="Q50" s="37"/>
    </row>
    <row r="51">
      <c r="A51" s="32"/>
      <c r="B51" s="32"/>
      <c r="C51" s="17"/>
      <c r="D51" s="43"/>
      <c r="E51" s="32"/>
      <c r="F51" s="32"/>
      <c r="G51" s="44"/>
      <c r="H51" s="44"/>
      <c r="I51" s="44"/>
      <c r="J51" s="32"/>
      <c r="K51" s="40"/>
      <c r="L51" s="40"/>
      <c r="M51" s="45"/>
      <c r="N51" s="26"/>
      <c r="O51" s="23"/>
      <c r="P51" s="23"/>
      <c r="Q51" s="23"/>
    </row>
    <row r="52">
      <c r="A52" s="15"/>
      <c r="B52" s="15"/>
      <c r="C52" s="29"/>
      <c r="D52" s="46"/>
      <c r="E52" s="15"/>
      <c r="F52" s="15"/>
      <c r="G52" s="41"/>
      <c r="H52" s="41"/>
      <c r="I52" s="41"/>
      <c r="J52" s="15"/>
      <c r="K52" s="39"/>
      <c r="L52" s="39"/>
      <c r="M52" s="42"/>
      <c r="N52" s="10"/>
      <c r="O52" s="37"/>
      <c r="P52" s="37"/>
      <c r="Q52" s="37"/>
    </row>
    <row r="53">
      <c r="A53" s="32"/>
      <c r="B53" s="32"/>
      <c r="C53" s="17"/>
      <c r="D53" s="43"/>
      <c r="E53" s="32"/>
      <c r="F53" s="32"/>
      <c r="G53" s="44"/>
      <c r="H53" s="44"/>
      <c r="I53" s="44"/>
      <c r="J53" s="32"/>
      <c r="K53" s="40"/>
      <c r="L53" s="40"/>
      <c r="M53" s="45"/>
      <c r="N53" s="26"/>
      <c r="O53" s="23"/>
      <c r="P53" s="23"/>
      <c r="Q53" s="23"/>
    </row>
  </sheetData>
  <autoFilter ref="$A$1:$Q$33"/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1.88"/>
    <col customWidth="1" min="3" max="5" width="9.63"/>
    <col customWidth="1" min="6" max="6" width="32.88"/>
    <col customWidth="1" min="7" max="7" width="23.75"/>
  </cols>
  <sheetData>
    <row r="1">
      <c r="A1" s="47" t="s">
        <v>225</v>
      </c>
      <c r="B1" s="48" t="s">
        <v>226</v>
      </c>
      <c r="C1" s="49" t="s">
        <v>227</v>
      </c>
      <c r="D1" s="49" t="s">
        <v>228</v>
      </c>
      <c r="E1" s="49" t="s">
        <v>229</v>
      </c>
      <c r="F1" s="50" t="s">
        <v>16</v>
      </c>
      <c r="G1" s="51" t="s">
        <v>230</v>
      </c>
      <c r="H1" s="52"/>
      <c r="I1" s="52"/>
      <c r="J1" s="52"/>
      <c r="K1" s="52"/>
      <c r="L1" s="52"/>
      <c r="M1" s="52"/>
      <c r="N1" s="52"/>
      <c r="O1" s="52"/>
    </row>
    <row r="2">
      <c r="A2" s="53" t="s">
        <v>231</v>
      </c>
      <c r="B2" s="54"/>
      <c r="C2" s="55">
        <v>317.0</v>
      </c>
      <c r="D2" s="55">
        <v>315.0</v>
      </c>
      <c r="E2" s="56"/>
      <c r="F2" s="57" t="s">
        <v>232</v>
      </c>
      <c r="G2" s="53" t="s">
        <v>233</v>
      </c>
      <c r="H2" s="58"/>
      <c r="I2" s="58"/>
      <c r="J2" s="58"/>
      <c r="K2" s="58"/>
      <c r="L2" s="58"/>
      <c r="M2" s="58"/>
      <c r="N2" s="58"/>
      <c r="O2" s="58"/>
    </row>
    <row r="3">
      <c r="A3" s="59" t="s">
        <v>234</v>
      </c>
      <c r="B3" s="60"/>
      <c r="C3" s="61">
        <v>414.0</v>
      </c>
      <c r="D3" s="61"/>
      <c r="E3" s="61"/>
      <c r="F3" s="59" t="s">
        <v>235</v>
      </c>
      <c r="G3" s="59"/>
      <c r="H3" s="58"/>
      <c r="I3" s="58"/>
      <c r="J3" s="58"/>
      <c r="K3" s="58"/>
      <c r="L3" s="58"/>
      <c r="M3" s="58"/>
      <c r="N3" s="58"/>
      <c r="O3" s="58"/>
    </row>
    <row r="4">
      <c r="A4" s="62" t="s">
        <v>236</v>
      </c>
      <c r="B4" s="63"/>
      <c r="C4" s="64">
        <v>378.0</v>
      </c>
      <c r="D4" s="64">
        <v>346.0</v>
      </c>
      <c r="E4" s="64">
        <v>367.0</v>
      </c>
      <c r="F4" s="65" t="s">
        <v>237</v>
      </c>
      <c r="G4" s="62" t="s">
        <v>233</v>
      </c>
      <c r="H4" s="58"/>
      <c r="I4" s="58"/>
      <c r="J4" s="58"/>
      <c r="K4" s="58"/>
      <c r="L4" s="58"/>
      <c r="M4" s="58"/>
      <c r="N4" s="58"/>
      <c r="O4" s="58"/>
    </row>
    <row r="5">
      <c r="A5" s="66" t="s">
        <v>238</v>
      </c>
      <c r="B5" s="60"/>
      <c r="C5" s="61">
        <v>356.0</v>
      </c>
      <c r="D5" s="61">
        <v>388.0</v>
      </c>
      <c r="E5" s="67"/>
      <c r="F5" s="68"/>
      <c r="G5" s="59" t="s">
        <v>239</v>
      </c>
      <c r="H5" s="58"/>
      <c r="I5" s="58"/>
      <c r="J5" s="58"/>
      <c r="K5" s="58"/>
      <c r="L5" s="58"/>
      <c r="M5" s="58"/>
      <c r="N5" s="58"/>
      <c r="O5" s="58"/>
    </row>
    <row r="6">
      <c r="A6" s="66" t="s">
        <v>240</v>
      </c>
      <c r="B6" s="60"/>
      <c r="C6" s="69">
        <v>357.0</v>
      </c>
      <c r="D6" s="69"/>
      <c r="E6" s="67"/>
      <c r="F6" s="68"/>
      <c r="G6" s="59" t="s">
        <v>239</v>
      </c>
      <c r="H6" s="58"/>
      <c r="I6" s="58"/>
      <c r="J6" s="58"/>
      <c r="K6" s="58"/>
      <c r="L6" s="58"/>
      <c r="M6" s="58"/>
      <c r="N6" s="58"/>
      <c r="O6" s="58"/>
    </row>
    <row r="7">
      <c r="A7" s="70" t="s">
        <v>241</v>
      </c>
      <c r="B7" s="71"/>
      <c r="C7" s="72">
        <v>352.0</v>
      </c>
      <c r="D7" s="72"/>
      <c r="E7" s="72"/>
      <c r="F7" s="73" t="s">
        <v>242</v>
      </c>
      <c r="G7" s="74" t="s">
        <v>233</v>
      </c>
      <c r="H7" s="58"/>
      <c r="I7" s="58"/>
      <c r="J7" s="58"/>
      <c r="K7" s="58"/>
      <c r="L7" s="58"/>
      <c r="M7" s="58"/>
      <c r="N7" s="58"/>
      <c r="O7" s="58"/>
    </row>
    <row r="8">
      <c r="A8" s="70" t="s">
        <v>243</v>
      </c>
      <c r="B8" s="71"/>
      <c r="C8" s="75">
        <v>390.0</v>
      </c>
      <c r="D8" s="75"/>
      <c r="E8" s="76"/>
      <c r="F8" s="73" t="s">
        <v>242</v>
      </c>
      <c r="G8" s="74" t="s">
        <v>233</v>
      </c>
      <c r="H8" s="58"/>
      <c r="I8" s="58"/>
      <c r="J8" s="58"/>
      <c r="K8" s="58"/>
      <c r="L8" s="58"/>
      <c r="M8" s="58"/>
      <c r="N8" s="58"/>
      <c r="O8" s="58"/>
    </row>
    <row r="9">
      <c r="A9" s="74" t="s">
        <v>244</v>
      </c>
      <c r="B9" s="71"/>
      <c r="C9" s="75">
        <v>387.0</v>
      </c>
      <c r="D9" s="75">
        <v>360.0</v>
      </c>
      <c r="E9" s="75"/>
      <c r="F9" s="73" t="s">
        <v>242</v>
      </c>
      <c r="G9" s="74" t="s">
        <v>233</v>
      </c>
      <c r="H9" s="58"/>
      <c r="I9" s="58"/>
      <c r="J9" s="58"/>
      <c r="K9" s="58"/>
      <c r="L9" s="58"/>
      <c r="M9" s="58"/>
      <c r="N9" s="58"/>
      <c r="O9" s="58"/>
    </row>
    <row r="10">
      <c r="A10" s="66" t="s">
        <v>245</v>
      </c>
      <c r="B10" s="60"/>
      <c r="C10" s="61">
        <v>278.0</v>
      </c>
      <c r="D10" s="61"/>
      <c r="E10" s="67"/>
      <c r="F10" s="68"/>
      <c r="G10" s="59" t="s">
        <v>239</v>
      </c>
      <c r="H10" s="58"/>
      <c r="I10" s="58"/>
      <c r="J10" s="58"/>
      <c r="K10" s="58"/>
      <c r="L10" s="58"/>
      <c r="M10" s="58"/>
      <c r="N10" s="58"/>
      <c r="O10" s="58"/>
    </row>
    <row r="11">
      <c r="A11" s="66" t="s">
        <v>246</v>
      </c>
      <c r="B11" s="60"/>
      <c r="C11" s="69">
        <v>400.0</v>
      </c>
      <c r="D11" s="69"/>
      <c r="E11" s="69"/>
      <c r="F11" s="77"/>
      <c r="G11" s="59" t="s">
        <v>239</v>
      </c>
      <c r="H11" s="58"/>
      <c r="I11" s="58"/>
      <c r="J11" s="58"/>
      <c r="K11" s="58"/>
      <c r="L11" s="58"/>
      <c r="M11" s="58"/>
      <c r="N11" s="58"/>
      <c r="O11" s="58"/>
    </row>
    <row r="12">
      <c r="A12" s="66" t="s">
        <v>247</v>
      </c>
      <c r="B12" s="60"/>
      <c r="C12" s="61">
        <v>308.0</v>
      </c>
      <c r="D12" s="61"/>
      <c r="E12" s="67"/>
      <c r="F12" s="68"/>
      <c r="G12" s="59" t="s">
        <v>239</v>
      </c>
      <c r="H12" s="58"/>
      <c r="I12" s="58"/>
      <c r="J12" s="58"/>
      <c r="K12" s="58"/>
      <c r="L12" s="58"/>
      <c r="M12" s="58"/>
      <c r="N12" s="58"/>
      <c r="O12" s="58"/>
    </row>
    <row r="13">
      <c r="A13" s="66" t="s">
        <v>248</v>
      </c>
      <c r="B13" s="60"/>
      <c r="C13" s="67"/>
      <c r="D13" s="67"/>
      <c r="E13" s="61"/>
      <c r="F13" s="59"/>
      <c r="G13" s="59" t="s">
        <v>239</v>
      </c>
      <c r="H13" s="58"/>
      <c r="I13" s="58"/>
      <c r="J13" s="58"/>
      <c r="K13" s="58"/>
      <c r="L13" s="58"/>
      <c r="M13" s="58"/>
      <c r="N13" s="58"/>
      <c r="O13" s="58"/>
    </row>
    <row r="14">
      <c r="A14" s="66" t="s">
        <v>249</v>
      </c>
      <c r="B14" s="60"/>
      <c r="C14" s="61">
        <v>310.0</v>
      </c>
      <c r="D14" s="61"/>
      <c r="E14" s="67"/>
      <c r="F14" s="68"/>
      <c r="G14" s="59" t="s">
        <v>239</v>
      </c>
      <c r="H14" s="58"/>
      <c r="I14" s="58"/>
      <c r="J14" s="58"/>
      <c r="K14" s="58"/>
      <c r="L14" s="58"/>
      <c r="M14" s="58"/>
      <c r="N14" s="58"/>
      <c r="O14" s="58"/>
    </row>
    <row r="15">
      <c r="A15" s="74" t="s">
        <v>250</v>
      </c>
      <c r="B15" s="71"/>
      <c r="C15" s="75">
        <v>337.0</v>
      </c>
      <c r="D15" s="75">
        <v>349.0</v>
      </c>
      <c r="E15" s="76"/>
      <c r="F15" s="73" t="s">
        <v>242</v>
      </c>
      <c r="G15" s="74" t="s">
        <v>233</v>
      </c>
      <c r="H15" s="58"/>
      <c r="I15" s="58"/>
      <c r="J15" s="58"/>
      <c r="K15" s="58"/>
      <c r="L15" s="58"/>
      <c r="M15" s="58"/>
      <c r="N15" s="58"/>
      <c r="O15" s="58"/>
    </row>
    <row r="16">
      <c r="A16" s="66" t="s">
        <v>251</v>
      </c>
      <c r="B16" s="60"/>
      <c r="C16" s="61">
        <v>450.0</v>
      </c>
      <c r="D16" s="61"/>
      <c r="E16" s="67"/>
      <c r="F16" s="68"/>
      <c r="G16" s="59" t="s">
        <v>239</v>
      </c>
      <c r="H16" s="58"/>
      <c r="I16" s="58"/>
      <c r="J16" s="58"/>
      <c r="K16" s="58"/>
      <c r="L16" s="58"/>
      <c r="M16" s="58"/>
      <c r="N16" s="58"/>
      <c r="O16" s="58"/>
    </row>
    <row r="17">
      <c r="A17" s="66" t="s">
        <v>252</v>
      </c>
      <c r="B17" s="60"/>
      <c r="C17" s="61">
        <v>343.0</v>
      </c>
      <c r="D17" s="61"/>
      <c r="E17" s="61"/>
      <c r="F17" s="59"/>
      <c r="G17" s="59" t="s">
        <v>239</v>
      </c>
      <c r="H17" s="58"/>
      <c r="I17" s="58"/>
      <c r="J17" s="58"/>
      <c r="K17" s="58"/>
      <c r="L17" s="58"/>
      <c r="M17" s="58"/>
      <c r="N17" s="58"/>
      <c r="O17" s="58"/>
    </row>
    <row r="18">
      <c r="A18" s="70" t="s">
        <v>253</v>
      </c>
      <c r="B18" s="71"/>
      <c r="C18" s="75">
        <v>325.0</v>
      </c>
      <c r="D18" s="75"/>
      <c r="E18" s="76"/>
      <c r="F18" s="73" t="s">
        <v>242</v>
      </c>
      <c r="G18" s="74" t="s">
        <v>233</v>
      </c>
      <c r="H18" s="58"/>
      <c r="I18" s="58"/>
      <c r="J18" s="58"/>
      <c r="K18" s="58"/>
      <c r="L18" s="58"/>
      <c r="M18" s="58"/>
      <c r="N18" s="58"/>
      <c r="O18" s="58"/>
    </row>
    <row r="19">
      <c r="A19" s="66" t="s">
        <v>254</v>
      </c>
      <c r="B19" s="60"/>
      <c r="C19" s="61">
        <v>381.0</v>
      </c>
      <c r="D19" s="61"/>
      <c r="E19" s="67"/>
      <c r="F19" s="68"/>
      <c r="G19" s="59" t="s">
        <v>239</v>
      </c>
      <c r="H19" s="58"/>
      <c r="I19" s="58"/>
      <c r="J19" s="58"/>
      <c r="K19" s="58"/>
      <c r="L19" s="58"/>
      <c r="M19" s="58"/>
      <c r="N19" s="58"/>
      <c r="O19" s="58"/>
    </row>
    <row r="20">
      <c r="A20" s="59" t="s">
        <v>255</v>
      </c>
      <c r="B20" s="60"/>
      <c r="C20" s="61">
        <v>300.0</v>
      </c>
      <c r="D20" s="61"/>
      <c r="E20" s="67"/>
      <c r="F20" s="77" t="s">
        <v>256</v>
      </c>
      <c r="G20" s="59" t="s">
        <v>233</v>
      </c>
      <c r="H20" s="58"/>
      <c r="I20" s="58"/>
      <c r="J20" s="58"/>
      <c r="K20" s="58"/>
      <c r="L20" s="58"/>
      <c r="M20" s="58"/>
      <c r="N20" s="58"/>
      <c r="O20" s="58"/>
    </row>
    <row r="21">
      <c r="A21" s="66" t="s">
        <v>257</v>
      </c>
      <c r="B21" s="60"/>
      <c r="C21" s="69">
        <v>380.0</v>
      </c>
      <c r="D21" s="69"/>
      <c r="E21" s="61"/>
      <c r="F21" s="59" t="s">
        <v>258</v>
      </c>
      <c r="G21" s="59" t="s">
        <v>239</v>
      </c>
      <c r="H21" s="58"/>
      <c r="I21" s="58"/>
      <c r="J21" s="58"/>
      <c r="K21" s="58"/>
      <c r="L21" s="58"/>
      <c r="M21" s="58"/>
      <c r="N21" s="58"/>
      <c r="O21" s="58"/>
    </row>
    <row r="22">
      <c r="A22" s="66" t="s">
        <v>259</v>
      </c>
      <c r="B22" s="60"/>
      <c r="C22" s="61">
        <v>317.0</v>
      </c>
      <c r="D22" s="61"/>
      <c r="E22" s="61"/>
      <c r="F22" s="59"/>
      <c r="G22" s="59" t="s">
        <v>239</v>
      </c>
      <c r="H22" s="58"/>
      <c r="I22" s="58"/>
      <c r="J22" s="58"/>
      <c r="K22" s="58"/>
      <c r="L22" s="58"/>
      <c r="M22" s="58"/>
      <c r="N22" s="58"/>
      <c r="O22" s="58"/>
    </row>
    <row r="23">
      <c r="A23" s="74" t="s">
        <v>260</v>
      </c>
      <c r="B23" s="71"/>
      <c r="C23" s="75">
        <v>375.0</v>
      </c>
      <c r="D23" s="75"/>
      <c r="E23" s="75"/>
      <c r="F23" s="73" t="s">
        <v>242</v>
      </c>
      <c r="G23" s="74" t="s">
        <v>233</v>
      </c>
      <c r="H23" s="58"/>
      <c r="I23" s="58"/>
      <c r="J23" s="58"/>
      <c r="K23" s="58"/>
      <c r="L23" s="58"/>
      <c r="M23" s="58"/>
      <c r="N23" s="58"/>
      <c r="O23" s="58"/>
    </row>
    <row r="24">
      <c r="A24" s="66" t="s">
        <v>261</v>
      </c>
      <c r="B24" s="60"/>
      <c r="C24" s="61">
        <v>352.0</v>
      </c>
      <c r="D24" s="61"/>
      <c r="E24" s="67"/>
      <c r="F24" s="68"/>
      <c r="G24" s="59" t="s">
        <v>239</v>
      </c>
      <c r="H24" s="58"/>
      <c r="I24" s="58"/>
      <c r="J24" s="58"/>
      <c r="K24" s="58"/>
      <c r="L24" s="58"/>
      <c r="M24" s="58"/>
      <c r="N24" s="58"/>
      <c r="O24" s="58"/>
    </row>
    <row r="25">
      <c r="A25" s="66" t="s">
        <v>262</v>
      </c>
      <c r="B25" s="60"/>
      <c r="C25" s="61">
        <v>431.0</v>
      </c>
      <c r="D25" s="61">
        <v>337.0</v>
      </c>
      <c r="E25" s="67"/>
      <c r="F25" s="68"/>
      <c r="G25" s="59" t="s">
        <v>239</v>
      </c>
      <c r="H25" s="58"/>
      <c r="I25" s="58"/>
      <c r="J25" s="58"/>
      <c r="K25" s="58"/>
      <c r="L25" s="58"/>
      <c r="M25" s="58"/>
      <c r="N25" s="58"/>
      <c r="O25" s="58"/>
    </row>
    <row r="26">
      <c r="A26" s="59" t="s">
        <v>263</v>
      </c>
      <c r="B26" s="60"/>
      <c r="C26" s="69">
        <v>360.0</v>
      </c>
      <c r="D26" s="69"/>
      <c r="E26" s="69"/>
      <c r="F26" s="77" t="s">
        <v>264</v>
      </c>
      <c r="G26" s="77"/>
      <c r="H26" s="58"/>
      <c r="I26" s="58"/>
      <c r="J26" s="58"/>
      <c r="K26" s="58"/>
      <c r="L26" s="58"/>
      <c r="M26" s="58"/>
      <c r="N26" s="58"/>
      <c r="O26" s="58"/>
    </row>
    <row r="27">
      <c r="A27" s="66" t="s">
        <v>265</v>
      </c>
      <c r="B27" s="60"/>
      <c r="C27" s="61">
        <v>373.0</v>
      </c>
      <c r="D27" s="61">
        <v>375.0</v>
      </c>
      <c r="E27" s="67"/>
      <c r="F27" s="68"/>
      <c r="G27" s="59" t="s">
        <v>239</v>
      </c>
      <c r="H27" s="58"/>
      <c r="I27" s="58"/>
      <c r="J27" s="58"/>
      <c r="K27" s="58"/>
      <c r="L27" s="58"/>
      <c r="M27" s="58"/>
      <c r="N27" s="58"/>
      <c r="O27" s="58"/>
    </row>
    <row r="28">
      <c r="A28" s="59" t="s">
        <v>266</v>
      </c>
      <c r="B28" s="60"/>
      <c r="C28" s="61">
        <v>423.0</v>
      </c>
      <c r="D28" s="61"/>
      <c r="E28" s="61"/>
      <c r="F28" s="59" t="s">
        <v>258</v>
      </c>
      <c r="G28" s="59" t="s">
        <v>267</v>
      </c>
      <c r="H28" s="58"/>
      <c r="I28" s="58"/>
      <c r="J28" s="58"/>
      <c r="K28" s="58"/>
      <c r="L28" s="58"/>
      <c r="M28" s="58"/>
      <c r="N28" s="58"/>
      <c r="O28" s="58"/>
    </row>
    <row r="29">
      <c r="A29" s="78" t="s">
        <v>268</v>
      </c>
      <c r="B29" s="63"/>
      <c r="C29" s="64">
        <v>405.0</v>
      </c>
      <c r="D29" s="64"/>
      <c r="E29" s="79"/>
      <c r="F29" s="65" t="s">
        <v>237</v>
      </c>
      <c r="G29" s="62" t="s">
        <v>233</v>
      </c>
      <c r="H29" s="58"/>
      <c r="I29" s="58"/>
      <c r="J29" s="58"/>
      <c r="K29" s="58"/>
      <c r="L29" s="58"/>
      <c r="M29" s="58"/>
      <c r="N29" s="58"/>
      <c r="O29" s="58"/>
    </row>
    <row r="30">
      <c r="A30" s="70" t="s">
        <v>269</v>
      </c>
      <c r="B30" s="71"/>
      <c r="C30" s="75">
        <v>385.0</v>
      </c>
      <c r="D30" s="75"/>
      <c r="E30" s="76"/>
      <c r="F30" s="73" t="s">
        <v>242</v>
      </c>
      <c r="G30" s="74" t="s">
        <v>233</v>
      </c>
      <c r="H30" s="58"/>
      <c r="I30" s="58"/>
      <c r="J30" s="58"/>
      <c r="K30" s="58"/>
      <c r="L30" s="58"/>
      <c r="M30" s="58"/>
      <c r="N30" s="58"/>
      <c r="O30" s="58"/>
    </row>
    <row r="31">
      <c r="A31" s="66" t="s">
        <v>270</v>
      </c>
      <c r="B31" s="60"/>
      <c r="C31" s="69">
        <v>432.0</v>
      </c>
      <c r="D31" s="69"/>
      <c r="E31" s="67"/>
      <c r="F31" s="68"/>
      <c r="G31" s="59" t="s">
        <v>239</v>
      </c>
      <c r="H31" s="58"/>
      <c r="I31" s="58"/>
      <c r="J31" s="58"/>
      <c r="K31" s="58"/>
      <c r="L31" s="58"/>
      <c r="M31" s="58"/>
      <c r="N31" s="58"/>
      <c r="O31" s="58"/>
    </row>
    <row r="32">
      <c r="A32" s="66" t="s">
        <v>271</v>
      </c>
      <c r="B32" s="60"/>
      <c r="C32" s="61">
        <v>353.0</v>
      </c>
      <c r="D32" s="61"/>
      <c r="E32" s="67"/>
      <c r="F32" s="68"/>
      <c r="G32" s="59" t="s">
        <v>239</v>
      </c>
      <c r="H32" s="58"/>
      <c r="I32" s="58"/>
      <c r="J32" s="58"/>
      <c r="K32" s="58"/>
      <c r="L32" s="58"/>
      <c r="M32" s="58"/>
      <c r="N32" s="58"/>
      <c r="O32" s="58"/>
    </row>
    <row r="33">
      <c r="A33" s="66" t="s">
        <v>272</v>
      </c>
      <c r="B33" s="60"/>
      <c r="C33" s="61">
        <v>328.0</v>
      </c>
      <c r="D33" s="61"/>
      <c r="E33" s="61"/>
      <c r="F33" s="59"/>
      <c r="G33" s="59" t="s">
        <v>239</v>
      </c>
      <c r="H33" s="58"/>
      <c r="I33" s="58"/>
      <c r="J33" s="58"/>
      <c r="K33" s="58"/>
      <c r="L33" s="58"/>
      <c r="M33" s="58"/>
      <c r="N33" s="58"/>
      <c r="O33" s="58"/>
    </row>
    <row r="34">
      <c r="A34" s="66" t="s">
        <v>273</v>
      </c>
      <c r="B34" s="60"/>
      <c r="C34" s="61">
        <v>351.0</v>
      </c>
      <c r="D34" s="61"/>
      <c r="E34" s="61"/>
      <c r="F34" s="59"/>
      <c r="G34" s="59" t="s">
        <v>239</v>
      </c>
      <c r="H34" s="58"/>
      <c r="I34" s="58"/>
      <c r="J34" s="58"/>
      <c r="K34" s="58"/>
      <c r="L34" s="58"/>
      <c r="M34" s="58"/>
      <c r="N34" s="58"/>
      <c r="O34" s="58"/>
    </row>
    <row r="35">
      <c r="A35" s="74" t="s">
        <v>274</v>
      </c>
      <c r="B35" s="71"/>
      <c r="C35" s="75">
        <v>461.0</v>
      </c>
      <c r="D35" s="75"/>
      <c r="E35" s="75"/>
      <c r="F35" s="73" t="s">
        <v>242</v>
      </c>
      <c r="G35" s="74" t="s">
        <v>233</v>
      </c>
      <c r="H35" s="58"/>
      <c r="I35" s="58"/>
      <c r="J35" s="58"/>
      <c r="K35" s="58"/>
      <c r="L35" s="58"/>
      <c r="M35" s="58"/>
      <c r="N35" s="58"/>
      <c r="O35" s="58"/>
    </row>
    <row r="36">
      <c r="A36" s="74" t="s">
        <v>275</v>
      </c>
      <c r="B36" s="71"/>
      <c r="C36" s="75">
        <v>358.0</v>
      </c>
      <c r="D36" s="75"/>
      <c r="E36" s="76"/>
      <c r="F36" s="73" t="s">
        <v>242</v>
      </c>
      <c r="G36" s="74" t="s">
        <v>233</v>
      </c>
      <c r="H36" s="58"/>
      <c r="I36" s="58"/>
      <c r="J36" s="58"/>
      <c r="K36" s="58"/>
      <c r="L36" s="58"/>
      <c r="M36" s="58"/>
      <c r="N36" s="58"/>
      <c r="O36" s="58"/>
    </row>
    <row r="37">
      <c r="A37" s="66" t="s">
        <v>276</v>
      </c>
      <c r="B37" s="60"/>
      <c r="C37" s="61">
        <v>424.0</v>
      </c>
      <c r="D37" s="61"/>
      <c r="E37" s="67"/>
      <c r="F37" s="68"/>
      <c r="G37" s="59" t="s">
        <v>239</v>
      </c>
      <c r="H37" s="58"/>
      <c r="I37" s="58"/>
      <c r="J37" s="58"/>
      <c r="K37" s="58"/>
      <c r="L37" s="58"/>
      <c r="M37" s="58"/>
      <c r="N37" s="58"/>
      <c r="O37" s="58"/>
    </row>
    <row r="38">
      <c r="A38" s="59" t="s">
        <v>277</v>
      </c>
      <c r="B38" s="60"/>
      <c r="C38" s="61">
        <v>450.0</v>
      </c>
      <c r="D38" s="61"/>
      <c r="E38" s="61"/>
      <c r="F38" s="59" t="s">
        <v>278</v>
      </c>
      <c r="G38" s="59"/>
      <c r="H38" s="58"/>
      <c r="I38" s="58"/>
      <c r="J38" s="58"/>
      <c r="K38" s="58"/>
      <c r="L38" s="58"/>
      <c r="M38" s="58"/>
      <c r="N38" s="58"/>
      <c r="O38" s="58"/>
    </row>
    <row r="39">
      <c r="A39" s="53" t="s">
        <v>279</v>
      </c>
      <c r="B39" s="54"/>
      <c r="C39" s="55">
        <v>262.0</v>
      </c>
      <c r="D39" s="55">
        <v>264.0</v>
      </c>
      <c r="E39" s="56"/>
      <c r="F39" s="57" t="s">
        <v>232</v>
      </c>
      <c r="G39" s="53" t="s">
        <v>233</v>
      </c>
      <c r="H39" s="58"/>
      <c r="I39" s="58"/>
      <c r="J39" s="58"/>
      <c r="K39" s="58"/>
      <c r="L39" s="58"/>
      <c r="M39" s="58"/>
      <c r="N39" s="58"/>
      <c r="O39" s="58"/>
    </row>
    <row r="40">
      <c r="A40" s="53" t="s">
        <v>280</v>
      </c>
      <c r="B40" s="54"/>
      <c r="C40" s="55">
        <v>270.0</v>
      </c>
      <c r="D40" s="55">
        <v>287.0</v>
      </c>
      <c r="E40" s="56"/>
      <c r="F40" s="57" t="s">
        <v>232</v>
      </c>
      <c r="G40" s="53" t="s">
        <v>233</v>
      </c>
      <c r="H40" s="58"/>
      <c r="I40" s="58"/>
      <c r="J40" s="58"/>
      <c r="K40" s="58"/>
      <c r="L40" s="58"/>
      <c r="M40" s="58"/>
      <c r="N40" s="58"/>
      <c r="O40" s="58"/>
    </row>
    <row r="41">
      <c r="A41" s="53" t="s">
        <v>281</v>
      </c>
      <c r="B41" s="54"/>
      <c r="C41" s="55">
        <v>312.0</v>
      </c>
      <c r="D41" s="55">
        <v>318.0</v>
      </c>
      <c r="E41" s="56"/>
      <c r="F41" s="57" t="s">
        <v>232</v>
      </c>
      <c r="G41" s="53" t="s">
        <v>233</v>
      </c>
      <c r="H41" s="58"/>
      <c r="I41" s="58"/>
      <c r="J41" s="58"/>
      <c r="K41" s="58"/>
      <c r="L41" s="58"/>
      <c r="M41" s="58"/>
      <c r="N41" s="58"/>
      <c r="O41" s="58"/>
    </row>
    <row r="42">
      <c r="A42" s="53" t="s">
        <v>282</v>
      </c>
      <c r="B42" s="54"/>
      <c r="C42" s="55">
        <v>312.0</v>
      </c>
      <c r="D42" s="55">
        <v>324.0</v>
      </c>
      <c r="E42" s="56"/>
      <c r="F42" s="57" t="s">
        <v>232</v>
      </c>
      <c r="G42" s="53" t="s">
        <v>233</v>
      </c>
      <c r="H42" s="58"/>
      <c r="I42" s="58"/>
      <c r="J42" s="58"/>
      <c r="K42" s="58"/>
      <c r="L42" s="58"/>
      <c r="M42" s="58"/>
      <c r="N42" s="58"/>
      <c r="O42" s="58"/>
    </row>
    <row r="43">
      <c r="A43" s="53" t="s">
        <v>283</v>
      </c>
      <c r="B43" s="54"/>
      <c r="C43" s="55">
        <v>285.0</v>
      </c>
      <c r="D43" s="55">
        <v>280.0</v>
      </c>
      <c r="E43" s="56"/>
      <c r="F43" s="57" t="s">
        <v>232</v>
      </c>
      <c r="G43" s="53" t="s">
        <v>233</v>
      </c>
      <c r="H43" s="58"/>
      <c r="I43" s="58"/>
      <c r="J43" s="58"/>
      <c r="K43" s="58"/>
      <c r="L43" s="58"/>
      <c r="M43" s="58"/>
      <c r="N43" s="58"/>
      <c r="O43" s="58"/>
    </row>
    <row r="44">
      <c r="A44" s="59" t="s">
        <v>284</v>
      </c>
      <c r="B44" s="60"/>
      <c r="C44" s="61">
        <v>258.0</v>
      </c>
      <c r="D44" s="61">
        <v>317.0</v>
      </c>
      <c r="E44" s="69"/>
      <c r="F44" s="77"/>
      <c r="G44" s="59"/>
      <c r="H44" s="58"/>
      <c r="I44" s="58"/>
      <c r="J44" s="58"/>
      <c r="K44" s="58"/>
      <c r="L44" s="58"/>
      <c r="M44" s="58"/>
      <c r="N44" s="58"/>
      <c r="O44" s="58"/>
    </row>
    <row r="45">
      <c r="A45" s="62" t="s">
        <v>285</v>
      </c>
      <c r="B45" s="63"/>
      <c r="C45" s="80">
        <v>282.0</v>
      </c>
      <c r="D45" s="80">
        <v>300.0</v>
      </c>
      <c r="E45" s="64"/>
      <c r="F45" s="65" t="s">
        <v>237</v>
      </c>
      <c r="G45" s="62" t="s">
        <v>233</v>
      </c>
      <c r="H45" s="58"/>
      <c r="I45" s="58"/>
      <c r="J45" s="58"/>
      <c r="K45" s="58"/>
      <c r="L45" s="58"/>
      <c r="M45" s="58"/>
      <c r="N45" s="58"/>
      <c r="O45" s="58"/>
    </row>
    <row r="46">
      <c r="A46" s="53" t="s">
        <v>286</v>
      </c>
      <c r="B46" s="54"/>
      <c r="C46" s="55">
        <v>299.0</v>
      </c>
      <c r="D46" s="55">
        <v>304.0</v>
      </c>
      <c r="E46" s="56"/>
      <c r="F46" s="57" t="s">
        <v>232</v>
      </c>
      <c r="G46" s="53" t="s">
        <v>233</v>
      </c>
      <c r="H46" s="58"/>
      <c r="I46" s="58"/>
      <c r="J46" s="58"/>
      <c r="K46" s="58"/>
      <c r="L46" s="58"/>
      <c r="M46" s="58"/>
      <c r="N46" s="58"/>
      <c r="O46" s="58"/>
    </row>
    <row r="47">
      <c r="A47" s="53" t="s">
        <v>287</v>
      </c>
      <c r="B47" s="54"/>
      <c r="C47" s="55">
        <v>225.0</v>
      </c>
      <c r="D47" s="55">
        <v>310.0</v>
      </c>
      <c r="E47" s="56"/>
      <c r="F47" s="57" t="s">
        <v>232</v>
      </c>
      <c r="G47" s="53" t="s">
        <v>233</v>
      </c>
      <c r="H47" s="58"/>
      <c r="I47" s="58"/>
      <c r="J47" s="58"/>
      <c r="K47" s="58"/>
      <c r="L47" s="58"/>
      <c r="M47" s="58"/>
      <c r="N47" s="58"/>
      <c r="O47" s="58"/>
    </row>
    <row r="48">
      <c r="A48" s="59" t="s">
        <v>288</v>
      </c>
      <c r="B48" s="60"/>
      <c r="C48" s="69">
        <v>282.0</v>
      </c>
      <c r="D48" s="69">
        <v>275.0</v>
      </c>
      <c r="E48" s="69"/>
      <c r="F48" s="77"/>
      <c r="G48" s="77"/>
      <c r="H48" s="58"/>
      <c r="I48" s="58"/>
      <c r="J48" s="58"/>
      <c r="K48" s="58"/>
      <c r="L48" s="58"/>
      <c r="M48" s="58"/>
      <c r="N48" s="58"/>
      <c r="O48" s="58"/>
    </row>
    <row r="49">
      <c r="A49" s="53" t="s">
        <v>289</v>
      </c>
      <c r="B49" s="54"/>
      <c r="C49" s="55">
        <v>267.0</v>
      </c>
      <c r="D49" s="55"/>
      <c r="E49" s="56"/>
      <c r="F49" s="57" t="s">
        <v>232</v>
      </c>
      <c r="G49" s="53" t="s">
        <v>233</v>
      </c>
      <c r="H49" s="58"/>
      <c r="I49" s="58"/>
      <c r="J49" s="58"/>
      <c r="K49" s="58"/>
      <c r="L49" s="58"/>
      <c r="M49" s="58"/>
      <c r="N49" s="58"/>
      <c r="O49" s="58"/>
    </row>
    <row r="50">
      <c r="A50" s="53" t="s">
        <v>290</v>
      </c>
      <c r="B50" s="54"/>
      <c r="C50" s="55">
        <v>282.0</v>
      </c>
      <c r="D50" s="55">
        <v>257.0</v>
      </c>
      <c r="E50" s="56"/>
      <c r="F50" s="57" t="s">
        <v>232</v>
      </c>
      <c r="G50" s="53" t="s">
        <v>233</v>
      </c>
      <c r="H50" s="58"/>
      <c r="I50" s="58"/>
      <c r="J50" s="58"/>
      <c r="K50" s="58"/>
      <c r="L50" s="58"/>
      <c r="M50" s="58"/>
      <c r="N50" s="58"/>
      <c r="O50" s="58"/>
    </row>
    <row r="51">
      <c r="A51" s="53" t="s">
        <v>291</v>
      </c>
      <c r="B51" s="54"/>
      <c r="C51" s="55">
        <v>307.0</v>
      </c>
      <c r="D51" s="55">
        <v>323.0</v>
      </c>
      <c r="E51" s="56"/>
      <c r="F51" s="57" t="s">
        <v>232</v>
      </c>
      <c r="G51" s="53" t="s">
        <v>233</v>
      </c>
      <c r="H51" s="58"/>
      <c r="I51" s="58"/>
      <c r="J51" s="58"/>
      <c r="K51" s="58"/>
      <c r="L51" s="58"/>
      <c r="M51" s="58"/>
      <c r="N51" s="58"/>
      <c r="O51" s="58"/>
    </row>
    <row r="52">
      <c r="A52" s="53" t="s">
        <v>292</v>
      </c>
      <c r="B52" s="54"/>
      <c r="C52" s="55">
        <v>272.0</v>
      </c>
      <c r="D52" s="55">
        <v>282.0</v>
      </c>
      <c r="E52" s="56"/>
      <c r="F52" s="57" t="s">
        <v>232</v>
      </c>
      <c r="G52" s="53" t="s">
        <v>233</v>
      </c>
      <c r="H52" s="58"/>
      <c r="I52" s="58"/>
      <c r="J52" s="58"/>
      <c r="K52" s="58"/>
      <c r="L52" s="58"/>
      <c r="M52" s="58"/>
      <c r="N52" s="58"/>
      <c r="O52" s="58"/>
    </row>
    <row r="53">
      <c r="A53" s="62" t="s">
        <v>293</v>
      </c>
      <c r="B53" s="63"/>
      <c r="C53" s="80">
        <v>300.0</v>
      </c>
      <c r="D53" s="80">
        <v>334.0</v>
      </c>
      <c r="E53" s="64">
        <v>336.0</v>
      </c>
      <c r="F53" s="65" t="s">
        <v>237</v>
      </c>
      <c r="G53" s="62" t="s">
        <v>233</v>
      </c>
      <c r="H53" s="58"/>
      <c r="I53" s="58"/>
      <c r="J53" s="58"/>
      <c r="K53" s="58"/>
      <c r="L53" s="58"/>
      <c r="M53" s="58"/>
      <c r="N53" s="58"/>
      <c r="O53" s="58"/>
    </row>
    <row r="54">
      <c r="A54" s="62" t="s">
        <v>294</v>
      </c>
      <c r="B54" s="63"/>
      <c r="C54" s="80">
        <v>285.0</v>
      </c>
      <c r="D54" s="80">
        <v>328.0</v>
      </c>
      <c r="E54" s="64"/>
      <c r="F54" s="65" t="s">
        <v>237</v>
      </c>
      <c r="G54" s="62" t="s">
        <v>233</v>
      </c>
      <c r="H54" s="58"/>
      <c r="I54" s="58"/>
      <c r="J54" s="58"/>
      <c r="K54" s="58"/>
      <c r="L54" s="58"/>
      <c r="M54" s="58"/>
      <c r="N54" s="58"/>
      <c r="O54" s="58"/>
    </row>
    <row r="55">
      <c r="A55" s="53" t="s">
        <v>295</v>
      </c>
      <c r="B55" s="54"/>
      <c r="C55" s="55">
        <v>275.0</v>
      </c>
      <c r="D55" s="55">
        <v>281.0</v>
      </c>
      <c r="E55" s="56"/>
      <c r="F55" s="57" t="s">
        <v>232</v>
      </c>
      <c r="G55" s="53" t="s">
        <v>233</v>
      </c>
      <c r="H55" s="58"/>
      <c r="I55" s="58"/>
      <c r="J55" s="58"/>
      <c r="K55" s="58"/>
      <c r="L55" s="58"/>
      <c r="M55" s="58"/>
      <c r="N55" s="58"/>
      <c r="O55" s="58"/>
    </row>
    <row r="56">
      <c r="A56" s="53" t="s">
        <v>296</v>
      </c>
      <c r="B56" s="54"/>
      <c r="C56" s="56">
        <v>275.0</v>
      </c>
      <c r="D56" s="56">
        <v>280.0</v>
      </c>
      <c r="E56" s="56"/>
      <c r="F56" s="57" t="s">
        <v>232</v>
      </c>
      <c r="G56" s="53" t="s">
        <v>233</v>
      </c>
      <c r="H56" s="58"/>
      <c r="I56" s="58"/>
      <c r="J56" s="58"/>
      <c r="K56" s="58"/>
      <c r="L56" s="58"/>
      <c r="M56" s="58"/>
      <c r="N56" s="58"/>
      <c r="O56" s="58"/>
    </row>
    <row r="57">
      <c r="A57" s="59" t="s">
        <v>297</v>
      </c>
      <c r="B57" s="60"/>
      <c r="C57" s="61">
        <v>230.0</v>
      </c>
      <c r="D57" s="61">
        <v>291.0</v>
      </c>
      <c r="E57" s="69"/>
      <c r="F57" s="77"/>
      <c r="G57" s="59"/>
      <c r="H57" s="58"/>
      <c r="I57" s="58"/>
      <c r="J57" s="58"/>
      <c r="K57" s="58"/>
      <c r="L57" s="58"/>
      <c r="M57" s="58"/>
      <c r="N57" s="58"/>
      <c r="O57" s="58"/>
    </row>
    <row r="58">
      <c r="A58" s="53" t="s">
        <v>298</v>
      </c>
      <c r="B58" s="54"/>
      <c r="C58" s="55">
        <v>245.0</v>
      </c>
      <c r="D58" s="55">
        <v>321.0</v>
      </c>
      <c r="E58" s="56"/>
      <c r="F58" s="57" t="s">
        <v>232</v>
      </c>
      <c r="G58" s="53" t="s">
        <v>233</v>
      </c>
      <c r="H58" s="58"/>
      <c r="I58" s="58"/>
      <c r="J58" s="58"/>
      <c r="K58" s="58"/>
      <c r="L58" s="58"/>
      <c r="M58" s="58"/>
      <c r="N58" s="58"/>
      <c r="O58" s="58"/>
    </row>
    <row r="59">
      <c r="A59" s="66" t="s">
        <v>299</v>
      </c>
      <c r="B59" s="60"/>
      <c r="C59" s="61">
        <v>505.0</v>
      </c>
      <c r="D59" s="61"/>
      <c r="E59" s="61"/>
      <c r="F59" s="59" t="s">
        <v>300</v>
      </c>
      <c r="G59" s="59" t="s">
        <v>239</v>
      </c>
      <c r="H59" s="58"/>
      <c r="I59" s="58"/>
      <c r="J59" s="58"/>
      <c r="K59" s="58"/>
      <c r="L59" s="58"/>
      <c r="M59" s="58"/>
      <c r="N59" s="58"/>
      <c r="O59" s="58"/>
    </row>
    <row r="60">
      <c r="A60" s="66" t="s">
        <v>301</v>
      </c>
      <c r="B60" s="81" t="s">
        <v>302</v>
      </c>
      <c r="C60" s="61">
        <v>432.0</v>
      </c>
      <c r="D60" s="61"/>
      <c r="E60" s="61"/>
      <c r="F60" s="59" t="s">
        <v>303</v>
      </c>
      <c r="G60" s="59" t="s">
        <v>239</v>
      </c>
      <c r="H60" s="58"/>
      <c r="I60" s="58"/>
      <c r="J60" s="58"/>
      <c r="K60" s="58"/>
      <c r="L60" s="58"/>
      <c r="M60" s="58"/>
      <c r="N60" s="58"/>
      <c r="O60" s="58"/>
    </row>
    <row r="61">
      <c r="A61" s="66" t="s">
        <v>304</v>
      </c>
      <c r="B61" s="81">
        <v>5776.0</v>
      </c>
      <c r="C61" s="61">
        <v>372.0</v>
      </c>
      <c r="D61" s="61"/>
      <c r="E61" s="61"/>
      <c r="F61" s="59"/>
      <c r="G61" s="59" t="s">
        <v>239</v>
      </c>
      <c r="H61" s="58"/>
      <c r="I61" s="58"/>
      <c r="J61" s="58"/>
      <c r="K61" s="58"/>
      <c r="L61" s="58"/>
      <c r="M61" s="58"/>
      <c r="N61" s="58"/>
      <c r="O61" s="58"/>
    </row>
    <row r="62">
      <c r="A62" s="66" t="s">
        <v>305</v>
      </c>
      <c r="B62" s="60"/>
      <c r="C62" s="61">
        <v>583.0</v>
      </c>
      <c r="D62" s="61"/>
      <c r="E62" s="69"/>
      <c r="F62" s="77"/>
      <c r="G62" s="59" t="s">
        <v>239</v>
      </c>
      <c r="H62" s="58"/>
      <c r="I62" s="58"/>
      <c r="J62" s="58"/>
      <c r="K62" s="58"/>
      <c r="L62" s="58"/>
      <c r="M62" s="58"/>
      <c r="N62" s="58"/>
      <c r="O62" s="58"/>
    </row>
    <row r="63">
      <c r="A63" s="53" t="s">
        <v>306</v>
      </c>
      <c r="B63" s="82">
        <v>4832.0</v>
      </c>
      <c r="C63" s="55">
        <v>322.0</v>
      </c>
      <c r="D63" s="55"/>
      <c r="E63" s="55"/>
      <c r="F63" s="57" t="s">
        <v>232</v>
      </c>
      <c r="G63" s="53" t="s">
        <v>233</v>
      </c>
      <c r="H63" s="58"/>
      <c r="I63" s="58"/>
      <c r="J63" s="58"/>
      <c r="K63" s="58"/>
      <c r="L63" s="58"/>
      <c r="M63" s="58"/>
      <c r="N63" s="58"/>
      <c r="O63" s="58"/>
    </row>
    <row r="64">
      <c r="A64" s="74" t="s">
        <v>307</v>
      </c>
      <c r="B64" s="83" t="s">
        <v>308</v>
      </c>
      <c r="C64" s="75">
        <v>320.0</v>
      </c>
      <c r="D64" s="75">
        <v>295.0</v>
      </c>
      <c r="E64" s="75"/>
      <c r="F64" s="73" t="s">
        <v>242</v>
      </c>
      <c r="G64" s="74" t="s">
        <v>233</v>
      </c>
      <c r="H64" s="58"/>
      <c r="I64" s="58"/>
      <c r="J64" s="58"/>
      <c r="K64" s="58"/>
      <c r="L64" s="58"/>
      <c r="M64" s="58"/>
      <c r="N64" s="58"/>
      <c r="O64" s="58"/>
    </row>
    <row r="65">
      <c r="A65" s="59" t="s">
        <v>309</v>
      </c>
      <c r="B65" s="81" t="s">
        <v>310</v>
      </c>
      <c r="C65" s="61">
        <v>465.0</v>
      </c>
      <c r="D65" s="61"/>
      <c r="E65" s="69"/>
      <c r="F65" s="77" t="s">
        <v>311</v>
      </c>
      <c r="G65" s="59"/>
      <c r="H65" s="58"/>
      <c r="I65" s="58"/>
      <c r="J65" s="58"/>
      <c r="K65" s="58"/>
      <c r="L65" s="58"/>
      <c r="M65" s="58"/>
      <c r="N65" s="58"/>
      <c r="O65" s="58"/>
    </row>
    <row r="66">
      <c r="A66" s="59" t="s">
        <v>312</v>
      </c>
      <c r="B66" s="81" t="s">
        <v>313</v>
      </c>
      <c r="C66" s="61">
        <v>249.0</v>
      </c>
      <c r="D66" s="61"/>
      <c r="E66" s="69"/>
      <c r="F66" s="77" t="s">
        <v>314</v>
      </c>
      <c r="G66" s="59" t="s">
        <v>233</v>
      </c>
      <c r="H66" s="58"/>
      <c r="I66" s="58"/>
      <c r="J66" s="58"/>
      <c r="K66" s="58"/>
      <c r="L66" s="58"/>
      <c r="M66" s="58"/>
      <c r="N66" s="58"/>
      <c r="O66" s="58"/>
    </row>
    <row r="67">
      <c r="A67" s="66" t="s">
        <v>315</v>
      </c>
      <c r="B67" s="81" t="s">
        <v>316</v>
      </c>
      <c r="C67" s="61">
        <v>517.0</v>
      </c>
      <c r="D67" s="61"/>
      <c r="E67" s="61"/>
      <c r="F67" s="59" t="s">
        <v>317</v>
      </c>
      <c r="G67" s="59" t="s">
        <v>239</v>
      </c>
      <c r="H67" s="58"/>
      <c r="I67" s="58"/>
      <c r="J67" s="58"/>
      <c r="K67" s="58"/>
      <c r="L67" s="58"/>
      <c r="M67" s="58"/>
      <c r="N67" s="58"/>
      <c r="O67" s="58"/>
    </row>
    <row r="68">
      <c r="A68" s="59" t="s">
        <v>318</v>
      </c>
      <c r="B68" s="81" t="s">
        <v>319</v>
      </c>
      <c r="C68" s="61">
        <v>375.0</v>
      </c>
      <c r="D68" s="61"/>
      <c r="E68" s="61"/>
      <c r="F68" s="59" t="s">
        <v>320</v>
      </c>
      <c r="G68" s="59" t="s">
        <v>321</v>
      </c>
      <c r="H68" s="58"/>
      <c r="I68" s="58"/>
      <c r="J68" s="58"/>
      <c r="K68" s="58"/>
      <c r="L68" s="58"/>
      <c r="M68" s="58"/>
      <c r="N68" s="58"/>
      <c r="O68" s="58"/>
    </row>
    <row r="69">
      <c r="A69" s="59" t="s">
        <v>322</v>
      </c>
      <c r="B69" s="81">
        <v>6490.0</v>
      </c>
      <c r="C69" s="61">
        <v>290.0</v>
      </c>
      <c r="D69" s="61">
        <v>320.0</v>
      </c>
      <c r="E69" s="61"/>
      <c r="F69" s="59"/>
      <c r="G69" s="59"/>
      <c r="H69" s="58"/>
      <c r="I69" s="58"/>
      <c r="J69" s="58"/>
      <c r="K69" s="58"/>
      <c r="L69" s="58"/>
      <c r="M69" s="58"/>
      <c r="N69" s="58"/>
      <c r="O69" s="58"/>
    </row>
    <row r="70">
      <c r="A70" s="74" t="s">
        <v>323</v>
      </c>
      <c r="B70" s="83" t="s">
        <v>324</v>
      </c>
      <c r="C70" s="75">
        <v>278.0</v>
      </c>
      <c r="D70" s="75">
        <v>313.0</v>
      </c>
      <c r="E70" s="75"/>
      <c r="F70" s="73" t="s">
        <v>242</v>
      </c>
      <c r="G70" s="74" t="s">
        <v>233</v>
      </c>
      <c r="H70" s="58"/>
      <c r="I70" s="58"/>
      <c r="J70" s="58"/>
      <c r="K70" s="58"/>
      <c r="L70" s="58"/>
      <c r="M70" s="58"/>
      <c r="N70" s="58"/>
      <c r="O70" s="58"/>
    </row>
    <row r="71">
      <c r="A71" s="66" t="s">
        <v>325</v>
      </c>
      <c r="B71" s="81">
        <v>5707.0</v>
      </c>
      <c r="C71" s="61">
        <v>419.0</v>
      </c>
      <c r="D71" s="61"/>
      <c r="E71" s="61"/>
      <c r="F71" s="59" t="s">
        <v>326</v>
      </c>
      <c r="G71" s="59" t="s">
        <v>239</v>
      </c>
      <c r="H71" s="58"/>
      <c r="I71" s="58"/>
      <c r="J71" s="58"/>
      <c r="K71" s="58"/>
      <c r="L71" s="58"/>
      <c r="M71" s="58"/>
      <c r="N71" s="58"/>
      <c r="O71" s="58"/>
    </row>
    <row r="72">
      <c r="A72" s="66" t="s">
        <v>327</v>
      </c>
      <c r="B72" s="81" t="s">
        <v>328</v>
      </c>
      <c r="C72" s="61">
        <v>404.0</v>
      </c>
      <c r="D72" s="61"/>
      <c r="E72" s="61"/>
      <c r="F72" s="59" t="s">
        <v>326</v>
      </c>
      <c r="G72" s="59"/>
      <c r="H72" s="58"/>
      <c r="I72" s="58"/>
      <c r="J72" s="58"/>
      <c r="K72" s="58"/>
      <c r="L72" s="58"/>
      <c r="M72" s="58"/>
      <c r="N72" s="58"/>
      <c r="O72" s="58"/>
    </row>
    <row r="73">
      <c r="A73" s="59" t="s">
        <v>329</v>
      </c>
      <c r="B73" s="60"/>
      <c r="C73" s="61">
        <v>300.0</v>
      </c>
      <c r="D73" s="61">
        <v>282.0</v>
      </c>
      <c r="E73" s="67"/>
      <c r="F73" s="68"/>
      <c r="G73" s="59"/>
      <c r="H73" s="58"/>
      <c r="I73" s="58"/>
      <c r="J73" s="58"/>
      <c r="K73" s="58"/>
      <c r="L73" s="58"/>
      <c r="M73" s="58"/>
      <c r="N73" s="58"/>
      <c r="O73" s="58"/>
    </row>
    <row r="74">
      <c r="A74" s="59" t="s">
        <v>330</v>
      </c>
      <c r="B74" s="81" t="s">
        <v>331</v>
      </c>
      <c r="C74" s="61">
        <v>405.0</v>
      </c>
      <c r="D74" s="61"/>
      <c r="E74" s="61"/>
      <c r="F74" s="59" t="s">
        <v>332</v>
      </c>
      <c r="G74" s="59"/>
      <c r="H74" s="58"/>
      <c r="I74" s="58"/>
      <c r="J74" s="58"/>
      <c r="K74" s="58"/>
      <c r="L74" s="58"/>
      <c r="M74" s="58"/>
      <c r="N74" s="58"/>
      <c r="O74" s="58"/>
    </row>
    <row r="75">
      <c r="A75" s="74" t="s">
        <v>333</v>
      </c>
      <c r="B75" s="71"/>
      <c r="C75" s="75">
        <v>342.0</v>
      </c>
      <c r="D75" s="75"/>
      <c r="E75" s="76"/>
      <c r="F75" s="73" t="s">
        <v>242</v>
      </c>
      <c r="G75" s="74" t="s">
        <v>233</v>
      </c>
      <c r="H75" s="58"/>
      <c r="I75" s="58"/>
      <c r="J75" s="58"/>
      <c r="K75" s="58"/>
      <c r="L75" s="58"/>
      <c r="M75" s="58"/>
      <c r="N75" s="58"/>
      <c r="O75" s="58"/>
    </row>
    <row r="76">
      <c r="A76" s="59" t="s">
        <v>334</v>
      </c>
      <c r="B76" s="81" t="s">
        <v>335</v>
      </c>
      <c r="C76" s="61">
        <v>423.0</v>
      </c>
      <c r="D76" s="61"/>
      <c r="E76" s="61"/>
      <c r="F76" s="59" t="s">
        <v>332</v>
      </c>
      <c r="G76" s="59"/>
      <c r="H76" s="58"/>
      <c r="I76" s="58"/>
      <c r="J76" s="58"/>
      <c r="K76" s="58"/>
      <c r="L76" s="58"/>
      <c r="M76" s="58"/>
      <c r="N76" s="58"/>
      <c r="O76" s="58"/>
    </row>
    <row r="77">
      <c r="A77" s="70" t="s">
        <v>336</v>
      </c>
      <c r="B77" s="83" t="s">
        <v>337</v>
      </c>
      <c r="C77" s="75">
        <v>515.0</v>
      </c>
      <c r="D77" s="75"/>
      <c r="E77" s="75"/>
      <c r="F77" s="73" t="s">
        <v>242</v>
      </c>
      <c r="G77" s="74" t="s">
        <v>233</v>
      </c>
      <c r="H77" s="58"/>
      <c r="I77" s="58"/>
      <c r="J77" s="58"/>
      <c r="K77" s="58"/>
      <c r="L77" s="58"/>
      <c r="M77" s="58"/>
      <c r="N77" s="58"/>
      <c r="O77" s="58"/>
    </row>
    <row r="78">
      <c r="A78" s="66" t="s">
        <v>338</v>
      </c>
      <c r="B78" s="81" t="s">
        <v>339</v>
      </c>
      <c r="C78" s="61">
        <v>431.0</v>
      </c>
      <c r="D78" s="61"/>
      <c r="E78" s="61"/>
      <c r="F78" s="59" t="s">
        <v>303</v>
      </c>
      <c r="G78" s="59" t="s">
        <v>239</v>
      </c>
      <c r="H78" s="58"/>
      <c r="I78" s="58"/>
      <c r="J78" s="58"/>
      <c r="K78" s="58"/>
      <c r="L78" s="58"/>
      <c r="M78" s="58"/>
      <c r="N78" s="58"/>
      <c r="O78" s="58"/>
    </row>
    <row r="79">
      <c r="A79" s="66" t="s">
        <v>340</v>
      </c>
      <c r="B79" s="81" t="s">
        <v>341</v>
      </c>
      <c r="C79" s="61">
        <v>520.0</v>
      </c>
      <c r="D79" s="61"/>
      <c r="E79" s="61"/>
      <c r="F79" s="59" t="s">
        <v>300</v>
      </c>
      <c r="G79" s="59" t="s">
        <v>239</v>
      </c>
      <c r="H79" s="58"/>
      <c r="I79" s="58"/>
      <c r="J79" s="58"/>
      <c r="K79" s="58"/>
      <c r="L79" s="58"/>
      <c r="M79" s="58"/>
      <c r="N79" s="58"/>
      <c r="O79" s="58"/>
    </row>
    <row r="80">
      <c r="A80" s="59" t="s">
        <v>342</v>
      </c>
      <c r="B80" s="81" t="s">
        <v>343</v>
      </c>
      <c r="C80" s="61">
        <v>480.0</v>
      </c>
      <c r="D80" s="61"/>
      <c r="E80" s="61"/>
      <c r="F80" s="59" t="s">
        <v>344</v>
      </c>
      <c r="G80" s="59"/>
      <c r="H80" s="58"/>
      <c r="I80" s="58"/>
      <c r="J80" s="58"/>
      <c r="K80" s="58"/>
      <c r="L80" s="58"/>
      <c r="M80" s="58"/>
      <c r="N80" s="58"/>
      <c r="O80" s="58"/>
    </row>
    <row r="81">
      <c r="A81" s="66" t="s">
        <v>345</v>
      </c>
      <c r="B81" s="81" t="s">
        <v>346</v>
      </c>
      <c r="C81" s="61">
        <v>475.0</v>
      </c>
      <c r="D81" s="61"/>
      <c r="E81" s="61"/>
      <c r="F81" s="59" t="s">
        <v>326</v>
      </c>
      <c r="G81" s="59" t="s">
        <v>347</v>
      </c>
      <c r="H81" s="58"/>
      <c r="I81" s="58"/>
      <c r="J81" s="58"/>
      <c r="K81" s="58"/>
      <c r="L81" s="58"/>
      <c r="M81" s="58"/>
      <c r="N81" s="58"/>
      <c r="O81" s="58"/>
    </row>
    <row r="82">
      <c r="A82" s="66" t="s">
        <v>348</v>
      </c>
      <c r="B82" s="81" t="s">
        <v>349</v>
      </c>
      <c r="C82" s="61">
        <v>530.0</v>
      </c>
      <c r="D82" s="61"/>
      <c r="E82" s="61"/>
      <c r="F82" s="59" t="s">
        <v>303</v>
      </c>
      <c r="G82" s="59" t="s">
        <v>347</v>
      </c>
      <c r="H82" s="58"/>
      <c r="I82" s="58"/>
      <c r="J82" s="58"/>
      <c r="K82" s="58"/>
      <c r="L82" s="58"/>
      <c r="M82" s="58"/>
      <c r="N82" s="58"/>
      <c r="O82" s="58"/>
    </row>
    <row r="83">
      <c r="A83" s="59" t="s">
        <v>350</v>
      </c>
      <c r="B83" s="81" t="s">
        <v>351</v>
      </c>
      <c r="C83" s="61">
        <v>415.0</v>
      </c>
      <c r="D83" s="61"/>
      <c r="E83" s="61"/>
      <c r="F83" s="59" t="s">
        <v>352</v>
      </c>
      <c r="G83" s="59"/>
      <c r="H83" s="58"/>
      <c r="I83" s="58"/>
      <c r="J83" s="58"/>
      <c r="K83" s="58"/>
      <c r="L83" s="58"/>
      <c r="M83" s="58"/>
      <c r="N83" s="58"/>
      <c r="O83" s="58"/>
    </row>
    <row r="84">
      <c r="A84" s="59" t="s">
        <v>353</v>
      </c>
      <c r="B84" s="81" t="s">
        <v>354</v>
      </c>
      <c r="C84" s="69">
        <v>415.0</v>
      </c>
      <c r="D84" s="69"/>
      <c r="E84" s="61"/>
      <c r="F84" s="59" t="s">
        <v>326</v>
      </c>
      <c r="G84" s="59" t="s">
        <v>239</v>
      </c>
      <c r="H84" s="58"/>
      <c r="I84" s="58"/>
      <c r="J84" s="58"/>
      <c r="K84" s="58"/>
      <c r="L84" s="58"/>
      <c r="M84" s="58"/>
      <c r="N84" s="58"/>
      <c r="O84" s="58"/>
    </row>
    <row r="85">
      <c r="A85" s="66" t="s">
        <v>355</v>
      </c>
      <c r="B85" s="81" t="s">
        <v>356</v>
      </c>
      <c r="C85" s="61">
        <v>311.0</v>
      </c>
      <c r="D85" s="61"/>
      <c r="E85" s="61"/>
      <c r="F85" s="59" t="s">
        <v>303</v>
      </c>
      <c r="G85" s="59" t="s">
        <v>347</v>
      </c>
      <c r="H85" s="58"/>
      <c r="I85" s="58"/>
      <c r="J85" s="58"/>
      <c r="K85" s="58"/>
      <c r="L85" s="58"/>
      <c r="M85" s="58"/>
      <c r="N85" s="58"/>
      <c r="O85" s="58"/>
    </row>
    <row r="86">
      <c r="A86" s="59" t="s">
        <v>357</v>
      </c>
      <c r="B86" s="81" t="s">
        <v>358</v>
      </c>
      <c r="C86" s="61">
        <v>358.0</v>
      </c>
      <c r="D86" s="61"/>
      <c r="E86" s="61"/>
      <c r="F86" s="59" t="s">
        <v>359</v>
      </c>
      <c r="G86" s="59"/>
      <c r="H86" s="58"/>
      <c r="I86" s="58"/>
      <c r="J86" s="58"/>
      <c r="K86" s="58"/>
      <c r="L86" s="58"/>
      <c r="M86" s="58"/>
      <c r="N86" s="58"/>
      <c r="O86" s="58"/>
    </row>
    <row r="87">
      <c r="A87" s="59" t="s">
        <v>360</v>
      </c>
      <c r="B87" s="81" t="s">
        <v>361</v>
      </c>
      <c r="C87" s="61">
        <v>377.0</v>
      </c>
      <c r="D87" s="61"/>
      <c r="E87" s="61"/>
      <c r="F87" s="59" t="s">
        <v>362</v>
      </c>
      <c r="G87" s="59" t="s">
        <v>363</v>
      </c>
      <c r="H87" s="58"/>
      <c r="I87" s="58"/>
      <c r="J87" s="58"/>
      <c r="K87" s="58"/>
      <c r="L87" s="58"/>
      <c r="M87" s="58"/>
      <c r="N87" s="58"/>
      <c r="O87" s="58"/>
    </row>
    <row r="88">
      <c r="A88" s="62" t="s">
        <v>364</v>
      </c>
      <c r="B88" s="84" t="s">
        <v>365</v>
      </c>
      <c r="C88" s="80">
        <v>292.0</v>
      </c>
      <c r="D88" s="80"/>
      <c r="E88" s="80"/>
      <c r="F88" s="62" t="s">
        <v>237</v>
      </c>
      <c r="G88" s="62" t="s">
        <v>233</v>
      </c>
      <c r="H88" s="58"/>
      <c r="I88" s="58"/>
      <c r="J88" s="58"/>
      <c r="K88" s="58"/>
      <c r="L88" s="58"/>
      <c r="M88" s="58"/>
      <c r="N88" s="58"/>
      <c r="O88" s="58"/>
    </row>
    <row r="89">
      <c r="A89" s="66" t="s">
        <v>366</v>
      </c>
      <c r="B89" s="81" t="s">
        <v>367</v>
      </c>
      <c r="C89" s="61">
        <v>324.0</v>
      </c>
      <c r="D89" s="61"/>
      <c r="E89" s="61"/>
      <c r="F89" s="59"/>
      <c r="G89" s="59" t="s">
        <v>347</v>
      </c>
      <c r="H89" s="58"/>
      <c r="I89" s="58"/>
      <c r="J89" s="58"/>
      <c r="K89" s="58"/>
      <c r="L89" s="58"/>
      <c r="M89" s="58"/>
      <c r="N89" s="58"/>
      <c r="O89" s="58"/>
    </row>
    <row r="90">
      <c r="A90" s="59" t="s">
        <v>368</v>
      </c>
      <c r="B90" s="60"/>
      <c r="C90" s="61">
        <v>214.0</v>
      </c>
      <c r="D90" s="61">
        <v>251.0</v>
      </c>
      <c r="E90" s="67"/>
      <c r="F90" s="68"/>
      <c r="G90" s="59"/>
      <c r="H90" s="58"/>
      <c r="I90" s="58"/>
      <c r="J90" s="58"/>
      <c r="K90" s="58"/>
      <c r="L90" s="58"/>
      <c r="M90" s="58"/>
      <c r="N90" s="58"/>
      <c r="O90" s="58"/>
    </row>
    <row r="91">
      <c r="A91" s="59" t="s">
        <v>369</v>
      </c>
      <c r="B91" s="81" t="s">
        <v>370</v>
      </c>
      <c r="C91" s="61">
        <v>420.0</v>
      </c>
      <c r="D91" s="61"/>
      <c r="E91" s="61"/>
      <c r="F91" s="59" t="s">
        <v>326</v>
      </c>
      <c r="G91" s="59"/>
      <c r="H91" s="58"/>
      <c r="I91" s="58"/>
      <c r="J91" s="58"/>
      <c r="K91" s="58"/>
      <c r="L91" s="58"/>
      <c r="M91" s="58"/>
      <c r="N91" s="58"/>
      <c r="O91" s="58"/>
    </row>
    <row r="92">
      <c r="A92" s="59" t="s">
        <v>371</v>
      </c>
      <c r="B92" s="81" t="s">
        <v>372</v>
      </c>
      <c r="C92" s="61">
        <v>420.0</v>
      </c>
      <c r="D92" s="61"/>
      <c r="E92" s="61"/>
      <c r="F92" s="59" t="s">
        <v>359</v>
      </c>
      <c r="G92" s="59"/>
      <c r="H92" s="58"/>
      <c r="I92" s="58"/>
      <c r="J92" s="58"/>
      <c r="K92" s="58"/>
      <c r="L92" s="58"/>
      <c r="M92" s="58"/>
      <c r="N92" s="58"/>
      <c r="O92" s="58"/>
    </row>
    <row r="93">
      <c r="A93" s="66" t="s">
        <v>373</v>
      </c>
      <c r="B93" s="81" t="s">
        <v>374</v>
      </c>
      <c r="C93" s="61">
        <v>425.0</v>
      </c>
      <c r="D93" s="61"/>
      <c r="E93" s="61"/>
      <c r="F93" s="59" t="s">
        <v>300</v>
      </c>
      <c r="G93" s="59" t="s">
        <v>239</v>
      </c>
      <c r="H93" s="58"/>
      <c r="I93" s="58"/>
      <c r="J93" s="58"/>
      <c r="K93" s="58"/>
      <c r="L93" s="58"/>
      <c r="M93" s="58"/>
      <c r="N93" s="58"/>
      <c r="O93" s="58"/>
    </row>
    <row r="94">
      <c r="A94" s="66" t="s">
        <v>375</v>
      </c>
      <c r="B94" s="81" t="s">
        <v>376</v>
      </c>
      <c r="C94" s="61">
        <v>347.0</v>
      </c>
      <c r="D94" s="61"/>
      <c r="E94" s="61"/>
      <c r="F94" s="59"/>
      <c r="G94" s="59" t="s">
        <v>239</v>
      </c>
      <c r="H94" s="58"/>
      <c r="I94" s="58"/>
      <c r="J94" s="58"/>
      <c r="K94" s="58"/>
      <c r="L94" s="58"/>
      <c r="M94" s="58"/>
      <c r="N94" s="58"/>
      <c r="O94" s="58"/>
    </row>
    <row r="95">
      <c r="A95" s="62" t="s">
        <v>377</v>
      </c>
      <c r="B95" s="63"/>
      <c r="C95" s="80">
        <v>288.0</v>
      </c>
      <c r="D95" s="80">
        <v>348.0</v>
      </c>
      <c r="E95" s="79"/>
      <c r="F95" s="65" t="s">
        <v>237</v>
      </c>
      <c r="G95" s="62" t="s">
        <v>233</v>
      </c>
      <c r="H95" s="58"/>
      <c r="I95" s="58"/>
      <c r="J95" s="58"/>
      <c r="K95" s="58"/>
      <c r="L95" s="58"/>
      <c r="M95" s="58"/>
      <c r="N95" s="58"/>
      <c r="O95" s="58"/>
    </row>
    <row r="96">
      <c r="A96" s="59" t="s">
        <v>378</v>
      </c>
      <c r="B96" s="81" t="s">
        <v>379</v>
      </c>
      <c r="C96" s="61">
        <v>400.0</v>
      </c>
      <c r="D96" s="61"/>
      <c r="E96" s="61"/>
      <c r="F96" s="59" t="s">
        <v>352</v>
      </c>
      <c r="G96" s="59"/>
      <c r="H96" s="58"/>
      <c r="I96" s="58"/>
      <c r="J96" s="58"/>
      <c r="K96" s="58"/>
      <c r="L96" s="58"/>
      <c r="M96" s="58"/>
      <c r="N96" s="58"/>
      <c r="O96" s="58"/>
    </row>
    <row r="97">
      <c r="A97" s="62" t="s">
        <v>380</v>
      </c>
      <c r="B97" s="84">
        <v>6016.0</v>
      </c>
      <c r="C97" s="80">
        <v>331.0</v>
      </c>
      <c r="D97" s="80">
        <v>345.0</v>
      </c>
      <c r="E97" s="80"/>
      <c r="F97" s="62" t="s">
        <v>237</v>
      </c>
      <c r="G97" s="62" t="s">
        <v>233</v>
      </c>
      <c r="H97" s="58"/>
      <c r="I97" s="58"/>
      <c r="J97" s="58"/>
      <c r="K97" s="58"/>
      <c r="L97" s="58"/>
      <c r="M97" s="58"/>
      <c r="N97" s="58"/>
      <c r="O97" s="58"/>
    </row>
    <row r="98">
      <c r="A98" s="62" t="s">
        <v>381</v>
      </c>
      <c r="B98" s="84">
        <v>6421.0</v>
      </c>
      <c r="C98" s="64">
        <v>301.0</v>
      </c>
      <c r="D98" s="64">
        <v>305.0</v>
      </c>
      <c r="E98" s="79"/>
      <c r="F98" s="65" t="s">
        <v>237</v>
      </c>
      <c r="G98" s="62" t="s">
        <v>233</v>
      </c>
      <c r="H98" s="58"/>
      <c r="I98" s="58"/>
      <c r="J98" s="58"/>
      <c r="K98" s="58"/>
      <c r="L98" s="58"/>
      <c r="M98" s="58"/>
      <c r="N98" s="58"/>
      <c r="O98" s="58"/>
    </row>
    <row r="99">
      <c r="A99" s="66" t="s">
        <v>382</v>
      </c>
      <c r="B99" s="81" t="s">
        <v>383</v>
      </c>
      <c r="C99" s="61">
        <v>501.0</v>
      </c>
      <c r="D99" s="61"/>
      <c r="E99" s="61"/>
      <c r="F99" s="59" t="s">
        <v>326</v>
      </c>
      <c r="G99" s="59" t="s">
        <v>239</v>
      </c>
      <c r="H99" s="58"/>
      <c r="I99" s="58"/>
      <c r="J99" s="58"/>
      <c r="K99" s="58"/>
      <c r="L99" s="58"/>
      <c r="M99" s="58"/>
      <c r="N99" s="58"/>
      <c r="O99" s="58"/>
    </row>
    <row r="100">
      <c r="A100" s="62" t="s">
        <v>384</v>
      </c>
      <c r="B100" s="84">
        <v>6536.0</v>
      </c>
      <c r="C100" s="80">
        <v>334.0</v>
      </c>
      <c r="D100" s="80">
        <v>355.0</v>
      </c>
      <c r="E100" s="80"/>
      <c r="F100" s="62" t="s">
        <v>237</v>
      </c>
      <c r="G100" s="62" t="s">
        <v>233</v>
      </c>
      <c r="H100" s="58"/>
      <c r="I100" s="58"/>
      <c r="J100" s="58"/>
      <c r="K100" s="58"/>
      <c r="L100" s="58"/>
      <c r="M100" s="58"/>
      <c r="N100" s="58"/>
      <c r="O100" s="58"/>
    </row>
    <row r="101">
      <c r="A101" s="59" t="s">
        <v>385</v>
      </c>
      <c r="B101" s="81" t="s">
        <v>386</v>
      </c>
      <c r="C101" s="61">
        <v>400.0</v>
      </c>
      <c r="D101" s="61"/>
      <c r="E101" s="61"/>
      <c r="F101" s="59" t="s">
        <v>258</v>
      </c>
      <c r="G101" s="59"/>
      <c r="H101" s="58"/>
      <c r="I101" s="58"/>
      <c r="J101" s="58"/>
      <c r="K101" s="58"/>
      <c r="L101" s="58"/>
      <c r="M101" s="58"/>
      <c r="N101" s="58"/>
      <c r="O101" s="58"/>
    </row>
    <row r="102">
      <c r="A102" s="74" t="s">
        <v>387</v>
      </c>
      <c r="B102" s="83" t="s">
        <v>388</v>
      </c>
      <c r="C102" s="75">
        <v>299.0</v>
      </c>
      <c r="D102" s="75">
        <v>297.0</v>
      </c>
      <c r="E102" s="75"/>
      <c r="F102" s="73" t="s">
        <v>242</v>
      </c>
      <c r="G102" s="74" t="s">
        <v>233</v>
      </c>
      <c r="H102" s="58"/>
      <c r="I102" s="58"/>
      <c r="J102" s="58"/>
      <c r="K102" s="58"/>
      <c r="L102" s="58"/>
      <c r="M102" s="58"/>
      <c r="N102" s="58"/>
      <c r="O102" s="58"/>
    </row>
    <row r="103">
      <c r="A103" s="85" t="s">
        <v>389</v>
      </c>
      <c r="B103" s="82" t="s">
        <v>390</v>
      </c>
      <c r="C103" s="55">
        <v>446.0</v>
      </c>
      <c r="D103" s="55"/>
      <c r="E103" s="55"/>
      <c r="F103" s="57" t="s">
        <v>232</v>
      </c>
      <c r="G103" s="53" t="s">
        <v>233</v>
      </c>
      <c r="H103" s="58"/>
      <c r="I103" s="58"/>
      <c r="J103" s="58"/>
      <c r="K103" s="58"/>
      <c r="L103" s="58"/>
      <c r="M103" s="58"/>
      <c r="N103" s="58"/>
      <c r="O103" s="58"/>
    </row>
    <row r="104">
      <c r="A104" s="62" t="s">
        <v>391</v>
      </c>
      <c r="B104" s="84">
        <v>6376.0</v>
      </c>
      <c r="C104" s="80">
        <v>334.0</v>
      </c>
      <c r="D104" s="80">
        <v>350.0</v>
      </c>
      <c r="E104" s="80"/>
      <c r="F104" s="62" t="s">
        <v>237</v>
      </c>
      <c r="G104" s="62" t="s">
        <v>233</v>
      </c>
      <c r="H104" s="58"/>
      <c r="I104" s="58"/>
      <c r="J104" s="58"/>
      <c r="K104" s="58"/>
      <c r="L104" s="58"/>
      <c r="M104" s="58"/>
      <c r="N104" s="58"/>
      <c r="O104" s="58"/>
    </row>
    <row r="105">
      <c r="A105" s="62" t="s">
        <v>392</v>
      </c>
      <c r="B105" s="84">
        <v>5782.0</v>
      </c>
      <c r="C105" s="80">
        <v>369.0</v>
      </c>
      <c r="D105" s="80">
        <v>347.0</v>
      </c>
      <c r="E105" s="80"/>
      <c r="F105" s="62" t="s">
        <v>237</v>
      </c>
      <c r="G105" s="62" t="s">
        <v>233</v>
      </c>
      <c r="H105" s="58"/>
      <c r="I105" s="58"/>
      <c r="J105" s="58"/>
      <c r="K105" s="58"/>
      <c r="L105" s="58"/>
      <c r="M105" s="58"/>
      <c r="N105" s="58"/>
      <c r="O105" s="58"/>
    </row>
    <row r="106">
      <c r="A106" s="74" t="s">
        <v>393</v>
      </c>
      <c r="B106" s="83" t="s">
        <v>394</v>
      </c>
      <c r="C106" s="75">
        <v>306.0</v>
      </c>
      <c r="D106" s="75"/>
      <c r="E106" s="75"/>
      <c r="F106" s="73" t="s">
        <v>242</v>
      </c>
      <c r="G106" s="74" t="s">
        <v>233</v>
      </c>
      <c r="H106" s="58"/>
      <c r="I106" s="58"/>
      <c r="J106" s="58"/>
      <c r="K106" s="58"/>
      <c r="L106" s="58"/>
      <c r="M106" s="58"/>
      <c r="N106" s="58"/>
      <c r="O106" s="58"/>
    </row>
    <row r="107">
      <c r="A107" s="66" t="s">
        <v>395</v>
      </c>
      <c r="B107" s="81" t="s">
        <v>396</v>
      </c>
      <c r="C107" s="61">
        <v>520.0</v>
      </c>
      <c r="D107" s="61"/>
      <c r="E107" s="61"/>
      <c r="F107" s="59" t="s">
        <v>300</v>
      </c>
      <c r="G107" s="59" t="s">
        <v>239</v>
      </c>
      <c r="H107" s="58"/>
      <c r="I107" s="58"/>
      <c r="J107" s="58"/>
      <c r="K107" s="58"/>
      <c r="L107" s="58"/>
      <c r="M107" s="58"/>
      <c r="N107" s="58"/>
      <c r="O107" s="58"/>
    </row>
    <row r="108">
      <c r="A108" s="70" t="s">
        <v>397</v>
      </c>
      <c r="B108" s="83" t="s">
        <v>398</v>
      </c>
      <c r="C108" s="76"/>
      <c r="D108" s="76"/>
      <c r="E108" s="75"/>
      <c r="F108" s="73" t="s">
        <v>242</v>
      </c>
      <c r="G108" s="74" t="s">
        <v>233</v>
      </c>
      <c r="H108" s="58"/>
      <c r="I108" s="58"/>
      <c r="J108" s="58"/>
      <c r="K108" s="58"/>
      <c r="L108" s="58"/>
      <c r="M108" s="58"/>
      <c r="N108" s="58"/>
      <c r="O108" s="58"/>
    </row>
    <row r="109">
      <c r="A109" s="59" t="s">
        <v>399</v>
      </c>
      <c r="B109" s="81" t="s">
        <v>400</v>
      </c>
      <c r="C109" s="61">
        <v>427.0</v>
      </c>
      <c r="D109" s="61"/>
      <c r="E109" s="61"/>
      <c r="F109" s="59"/>
      <c r="G109" s="59"/>
      <c r="H109" s="58"/>
      <c r="I109" s="58"/>
      <c r="J109" s="58"/>
      <c r="K109" s="58"/>
      <c r="L109" s="58"/>
      <c r="M109" s="58"/>
      <c r="N109" s="58"/>
      <c r="O109" s="58"/>
    </row>
    <row r="110">
      <c r="A110" s="74" t="s">
        <v>401</v>
      </c>
      <c r="B110" s="83" t="s">
        <v>402</v>
      </c>
      <c r="C110" s="76"/>
      <c r="D110" s="72">
        <v>301.0</v>
      </c>
      <c r="E110" s="75"/>
      <c r="F110" s="73" t="s">
        <v>242</v>
      </c>
      <c r="G110" s="74" t="s">
        <v>233</v>
      </c>
      <c r="H110" s="58"/>
      <c r="I110" s="58"/>
      <c r="J110" s="58"/>
      <c r="K110" s="58"/>
      <c r="L110" s="58"/>
      <c r="M110" s="58"/>
      <c r="N110" s="58"/>
      <c r="O110" s="58"/>
    </row>
    <row r="111">
      <c r="A111" s="66" t="s">
        <v>403</v>
      </c>
      <c r="B111" s="81" t="s">
        <v>404</v>
      </c>
      <c r="C111" s="67"/>
      <c r="D111" s="67"/>
      <c r="E111" s="61"/>
      <c r="F111" s="59" t="s">
        <v>300</v>
      </c>
      <c r="G111" s="59" t="s">
        <v>239</v>
      </c>
      <c r="H111" s="58"/>
      <c r="I111" s="58"/>
      <c r="J111" s="58"/>
      <c r="K111" s="58"/>
      <c r="L111" s="58"/>
      <c r="M111" s="58"/>
      <c r="N111" s="58"/>
      <c r="O111" s="58"/>
    </row>
    <row r="112">
      <c r="A112" s="74" t="s">
        <v>405</v>
      </c>
      <c r="B112" s="83" t="s">
        <v>406</v>
      </c>
      <c r="C112" s="75">
        <v>282.0</v>
      </c>
      <c r="D112" s="75">
        <v>304.0</v>
      </c>
      <c r="E112" s="75"/>
      <c r="F112" s="73" t="s">
        <v>242</v>
      </c>
      <c r="G112" s="74" t="s">
        <v>233</v>
      </c>
      <c r="H112" s="58"/>
      <c r="I112" s="58"/>
      <c r="J112" s="58"/>
      <c r="K112" s="58"/>
      <c r="L112" s="58"/>
      <c r="M112" s="58"/>
      <c r="N112" s="58"/>
      <c r="O112" s="58"/>
    </row>
    <row r="113">
      <c r="A113" s="62" t="s">
        <v>407</v>
      </c>
      <c r="B113" s="84">
        <v>5885.0</v>
      </c>
      <c r="C113" s="80">
        <v>333.0</v>
      </c>
      <c r="D113" s="80">
        <v>333.0</v>
      </c>
      <c r="E113" s="80"/>
      <c r="F113" s="62" t="s">
        <v>237</v>
      </c>
      <c r="G113" s="62" t="s">
        <v>233</v>
      </c>
      <c r="H113" s="58"/>
      <c r="I113" s="58"/>
      <c r="J113" s="58"/>
      <c r="K113" s="58"/>
      <c r="L113" s="58"/>
      <c r="M113" s="58"/>
      <c r="N113" s="58"/>
      <c r="O113" s="58"/>
    </row>
    <row r="114">
      <c r="A114" s="66" t="s">
        <v>408</v>
      </c>
      <c r="B114" s="81" t="s">
        <v>409</v>
      </c>
      <c r="C114" s="61">
        <v>423.0</v>
      </c>
      <c r="D114" s="61"/>
      <c r="E114" s="61"/>
      <c r="F114" s="59" t="s">
        <v>410</v>
      </c>
      <c r="G114" s="59" t="s">
        <v>347</v>
      </c>
      <c r="H114" s="58"/>
      <c r="I114" s="58"/>
      <c r="J114" s="58"/>
      <c r="K114" s="58"/>
      <c r="L114" s="58"/>
      <c r="M114" s="58"/>
      <c r="N114" s="58"/>
      <c r="O114" s="58"/>
    </row>
    <row r="115">
      <c r="A115" s="59" t="s">
        <v>411</v>
      </c>
      <c r="B115" s="81">
        <v>6219.0</v>
      </c>
      <c r="C115" s="61">
        <v>318.0</v>
      </c>
      <c r="D115" s="61">
        <v>312.0</v>
      </c>
      <c r="E115" s="61"/>
      <c r="F115" s="59"/>
      <c r="G115" s="59"/>
      <c r="H115" s="58"/>
      <c r="I115" s="58"/>
      <c r="J115" s="58"/>
      <c r="K115" s="58"/>
      <c r="L115" s="58"/>
      <c r="M115" s="58"/>
      <c r="N115" s="58"/>
      <c r="O115" s="58"/>
    </row>
    <row r="116">
      <c r="A116" s="62" t="s">
        <v>412</v>
      </c>
      <c r="B116" s="84" t="s">
        <v>413</v>
      </c>
      <c r="C116" s="80">
        <v>500.0</v>
      </c>
      <c r="D116" s="80"/>
      <c r="E116" s="80"/>
      <c r="F116" s="62" t="s">
        <v>237</v>
      </c>
      <c r="G116" s="62" t="s">
        <v>233</v>
      </c>
      <c r="H116" s="58"/>
      <c r="I116" s="58"/>
      <c r="J116" s="58"/>
      <c r="K116" s="58"/>
      <c r="L116" s="58"/>
      <c r="M116" s="58"/>
      <c r="N116" s="58"/>
      <c r="O116" s="58"/>
    </row>
    <row r="117">
      <c r="A117" s="59" t="s">
        <v>414</v>
      </c>
      <c r="B117" s="81">
        <v>5825.0</v>
      </c>
      <c r="C117" s="61">
        <v>348.0</v>
      </c>
      <c r="D117" s="61"/>
      <c r="E117" s="61"/>
      <c r="F117" s="59" t="s">
        <v>415</v>
      </c>
      <c r="G117" s="59"/>
      <c r="H117" s="58"/>
      <c r="I117" s="58"/>
      <c r="J117" s="58"/>
      <c r="K117" s="58"/>
      <c r="L117" s="58"/>
      <c r="M117" s="58"/>
      <c r="N117" s="58"/>
      <c r="O117" s="58"/>
    </row>
    <row r="118">
      <c r="A118" s="66" t="s">
        <v>416</v>
      </c>
      <c r="B118" s="81">
        <v>5075.0</v>
      </c>
      <c r="C118" s="61">
        <v>387.0</v>
      </c>
      <c r="D118" s="61"/>
      <c r="E118" s="61"/>
      <c r="F118" s="59"/>
      <c r="G118" s="59" t="s">
        <v>239</v>
      </c>
      <c r="H118" s="58"/>
      <c r="I118" s="58"/>
      <c r="J118" s="58"/>
      <c r="K118" s="58"/>
      <c r="L118" s="58"/>
      <c r="M118" s="58"/>
      <c r="N118" s="58"/>
      <c r="O118" s="58"/>
    </row>
    <row r="119">
      <c r="A119" s="59" t="s">
        <v>417</v>
      </c>
      <c r="B119" s="81" t="s">
        <v>418</v>
      </c>
      <c r="C119" s="61">
        <v>355.0</v>
      </c>
      <c r="D119" s="61"/>
      <c r="E119" s="61"/>
      <c r="F119" s="59"/>
      <c r="G119" s="59"/>
      <c r="H119" s="58"/>
      <c r="I119" s="58"/>
      <c r="J119" s="58"/>
      <c r="K119" s="58"/>
      <c r="L119" s="58"/>
      <c r="M119" s="58"/>
      <c r="N119" s="58"/>
      <c r="O119" s="58"/>
    </row>
    <row r="120">
      <c r="A120" s="66" t="s">
        <v>419</v>
      </c>
      <c r="B120" s="81" t="s">
        <v>420</v>
      </c>
      <c r="C120" s="61">
        <v>390.0</v>
      </c>
      <c r="D120" s="61"/>
      <c r="E120" s="61"/>
      <c r="F120" s="59"/>
      <c r="G120" s="59" t="s">
        <v>239</v>
      </c>
      <c r="H120" s="58"/>
      <c r="I120" s="58"/>
      <c r="J120" s="58"/>
      <c r="K120" s="58"/>
      <c r="L120" s="58"/>
      <c r="M120" s="58"/>
      <c r="N120" s="58"/>
      <c r="O120" s="58"/>
    </row>
    <row r="121">
      <c r="A121" s="66" t="s">
        <v>421</v>
      </c>
      <c r="B121" s="60"/>
      <c r="C121" s="61">
        <v>433.0</v>
      </c>
      <c r="D121" s="61"/>
      <c r="E121" s="67"/>
      <c r="F121" s="68"/>
      <c r="G121" s="59" t="s">
        <v>239</v>
      </c>
      <c r="H121" s="58"/>
      <c r="I121" s="58"/>
      <c r="J121" s="58"/>
      <c r="K121" s="58"/>
      <c r="L121" s="58"/>
      <c r="M121" s="58"/>
      <c r="N121" s="58"/>
      <c r="O121" s="58"/>
    </row>
    <row r="122">
      <c r="A122" s="59" t="s">
        <v>422</v>
      </c>
      <c r="B122" s="60"/>
      <c r="C122" s="61">
        <v>354.0</v>
      </c>
      <c r="D122" s="61"/>
      <c r="E122" s="67"/>
      <c r="F122" s="68"/>
      <c r="G122" s="59"/>
      <c r="H122" s="58"/>
      <c r="I122" s="58"/>
      <c r="J122" s="58"/>
      <c r="K122" s="58"/>
      <c r="L122" s="58"/>
      <c r="M122" s="58"/>
      <c r="N122" s="58"/>
      <c r="O122" s="58"/>
    </row>
    <row r="123">
      <c r="A123" s="74" t="s">
        <v>423</v>
      </c>
      <c r="B123" s="83" t="s">
        <v>358</v>
      </c>
      <c r="C123" s="75">
        <v>340.0</v>
      </c>
      <c r="D123" s="75">
        <v>329.0</v>
      </c>
      <c r="E123" s="75"/>
      <c r="F123" s="73" t="s">
        <v>242</v>
      </c>
      <c r="G123" s="74" t="s">
        <v>233</v>
      </c>
      <c r="H123" s="58"/>
      <c r="I123" s="58"/>
      <c r="J123" s="58"/>
      <c r="K123" s="58"/>
      <c r="L123" s="58"/>
      <c r="M123" s="58"/>
      <c r="N123" s="58"/>
      <c r="O123" s="58"/>
    </row>
    <row r="124">
      <c r="A124" s="62" t="s">
        <v>424</v>
      </c>
      <c r="B124" s="63"/>
      <c r="C124" s="80">
        <v>343.0</v>
      </c>
      <c r="D124" s="80"/>
      <c r="E124" s="79"/>
      <c r="F124" s="65" t="s">
        <v>237</v>
      </c>
      <c r="G124" s="62" t="s">
        <v>233</v>
      </c>
      <c r="H124" s="58"/>
      <c r="I124" s="58"/>
      <c r="J124" s="58"/>
      <c r="K124" s="58"/>
      <c r="L124" s="58"/>
      <c r="M124" s="58"/>
      <c r="N124" s="58"/>
      <c r="O124" s="58"/>
    </row>
    <row r="125">
      <c r="A125" s="53" t="s">
        <v>425</v>
      </c>
      <c r="B125" s="82" t="s">
        <v>426</v>
      </c>
      <c r="C125" s="55">
        <v>248.0</v>
      </c>
      <c r="D125" s="55">
        <v>255.0</v>
      </c>
      <c r="E125" s="55"/>
      <c r="F125" s="57" t="s">
        <v>232</v>
      </c>
      <c r="G125" s="53" t="s">
        <v>233</v>
      </c>
      <c r="H125" s="58"/>
      <c r="I125" s="58"/>
      <c r="J125" s="58"/>
      <c r="K125" s="58"/>
      <c r="L125" s="58"/>
      <c r="M125" s="58"/>
      <c r="N125" s="58"/>
      <c r="O125" s="58"/>
    </row>
    <row r="126">
      <c r="A126" s="66" t="s">
        <v>427</v>
      </c>
      <c r="B126" s="81" t="s">
        <v>428</v>
      </c>
      <c r="C126" s="61">
        <v>400.0</v>
      </c>
      <c r="D126" s="61"/>
      <c r="E126" s="61"/>
      <c r="F126" s="59"/>
      <c r="G126" s="59" t="s">
        <v>347</v>
      </c>
      <c r="H126" s="58"/>
      <c r="I126" s="58"/>
      <c r="J126" s="58"/>
      <c r="K126" s="58"/>
      <c r="L126" s="58"/>
      <c r="M126" s="58"/>
      <c r="N126" s="58"/>
      <c r="O126" s="58"/>
    </row>
    <row r="127">
      <c r="A127" s="74" t="s">
        <v>429</v>
      </c>
      <c r="B127" s="83" t="s">
        <v>430</v>
      </c>
      <c r="C127" s="75">
        <v>315.0</v>
      </c>
      <c r="D127" s="75">
        <v>311.0</v>
      </c>
      <c r="E127" s="75"/>
      <c r="F127" s="73" t="s">
        <v>242</v>
      </c>
      <c r="G127" s="74" t="s">
        <v>233</v>
      </c>
      <c r="H127" s="58"/>
      <c r="I127" s="58"/>
      <c r="J127" s="58"/>
      <c r="K127" s="58"/>
      <c r="L127" s="58"/>
      <c r="M127" s="58"/>
      <c r="N127" s="58"/>
      <c r="O127" s="58"/>
    </row>
    <row r="128">
      <c r="A128" s="62" t="s">
        <v>431</v>
      </c>
      <c r="B128" s="84">
        <v>4833.0</v>
      </c>
      <c r="C128" s="80">
        <v>334.0</v>
      </c>
      <c r="D128" s="80">
        <v>350.0</v>
      </c>
      <c r="E128" s="80"/>
      <c r="F128" s="62" t="s">
        <v>237</v>
      </c>
      <c r="G128" s="62" t="s">
        <v>233</v>
      </c>
      <c r="H128" s="58"/>
      <c r="I128" s="58"/>
      <c r="J128" s="58"/>
      <c r="K128" s="58"/>
      <c r="L128" s="58"/>
      <c r="M128" s="58"/>
      <c r="N128" s="58"/>
      <c r="O128" s="58"/>
    </row>
    <row r="129">
      <c r="A129" s="66" t="s">
        <v>432</v>
      </c>
      <c r="B129" s="81" t="s">
        <v>433</v>
      </c>
      <c r="C129" s="61"/>
      <c r="D129" s="61"/>
      <c r="E129" s="61"/>
      <c r="F129" s="59"/>
      <c r="G129" s="59" t="s">
        <v>239</v>
      </c>
      <c r="H129" s="58"/>
      <c r="I129" s="58"/>
      <c r="J129" s="58"/>
      <c r="K129" s="58"/>
      <c r="L129" s="58"/>
      <c r="M129" s="58"/>
      <c r="N129" s="58"/>
      <c r="O129" s="58"/>
    </row>
    <row r="130">
      <c r="A130" s="62" t="s">
        <v>434</v>
      </c>
      <c r="B130" s="84" t="s">
        <v>435</v>
      </c>
      <c r="C130" s="80">
        <v>336.0</v>
      </c>
      <c r="D130" s="80">
        <v>362.0</v>
      </c>
      <c r="E130" s="80"/>
      <c r="F130" s="62" t="s">
        <v>237</v>
      </c>
      <c r="G130" s="62" t="s">
        <v>233</v>
      </c>
      <c r="H130" s="58"/>
      <c r="I130" s="58"/>
      <c r="J130" s="58"/>
      <c r="K130" s="58"/>
      <c r="L130" s="58"/>
      <c r="M130" s="58"/>
      <c r="N130" s="58"/>
      <c r="O130" s="58"/>
    </row>
    <row r="131">
      <c r="A131" s="53" t="s">
        <v>436</v>
      </c>
      <c r="B131" s="54"/>
      <c r="C131" s="55">
        <v>317.0</v>
      </c>
      <c r="D131" s="55">
        <v>327.0</v>
      </c>
      <c r="E131" s="86"/>
      <c r="F131" s="57" t="s">
        <v>232</v>
      </c>
      <c r="G131" s="53" t="s">
        <v>233</v>
      </c>
      <c r="H131" s="58"/>
      <c r="I131" s="58"/>
      <c r="J131" s="58"/>
      <c r="K131" s="58"/>
      <c r="L131" s="58"/>
      <c r="M131" s="58"/>
      <c r="N131" s="58"/>
      <c r="O131" s="58"/>
    </row>
    <row r="132">
      <c r="A132" s="62" t="s">
        <v>437</v>
      </c>
      <c r="B132" s="84">
        <v>5957.0</v>
      </c>
      <c r="C132" s="80">
        <v>308.0</v>
      </c>
      <c r="D132" s="80">
        <v>321.0</v>
      </c>
      <c r="E132" s="80"/>
      <c r="F132" s="62" t="s">
        <v>237</v>
      </c>
      <c r="G132" s="62" t="s">
        <v>233</v>
      </c>
      <c r="H132" s="58"/>
      <c r="I132" s="58"/>
      <c r="J132" s="58"/>
      <c r="K132" s="58"/>
      <c r="L132" s="58"/>
      <c r="M132" s="58"/>
      <c r="N132" s="58"/>
      <c r="O132" s="58"/>
    </row>
    <row r="133">
      <c r="A133" s="59" t="s">
        <v>438</v>
      </c>
      <c r="B133" s="81" t="s">
        <v>439</v>
      </c>
      <c r="C133" s="61">
        <v>460.0</v>
      </c>
      <c r="D133" s="61"/>
      <c r="E133" s="61"/>
      <c r="F133" s="59" t="s">
        <v>303</v>
      </c>
      <c r="G133" s="59" t="s">
        <v>347</v>
      </c>
      <c r="H133" s="58"/>
      <c r="I133" s="58"/>
      <c r="J133" s="58"/>
      <c r="K133" s="58"/>
      <c r="L133" s="58"/>
      <c r="M133" s="58"/>
      <c r="N133" s="58"/>
      <c r="O133" s="58"/>
    </row>
    <row r="134">
      <c r="A134" s="66" t="s">
        <v>440</v>
      </c>
      <c r="B134" s="81">
        <v>5951.0</v>
      </c>
      <c r="C134" s="61">
        <v>423.0</v>
      </c>
      <c r="D134" s="61"/>
      <c r="E134" s="61"/>
      <c r="F134" s="59" t="s">
        <v>441</v>
      </c>
      <c r="G134" s="59" t="s">
        <v>239</v>
      </c>
      <c r="H134" s="58"/>
      <c r="I134" s="58"/>
      <c r="J134" s="58"/>
      <c r="K134" s="58"/>
      <c r="L134" s="58"/>
      <c r="M134" s="58"/>
      <c r="N134" s="58"/>
      <c r="O134" s="58"/>
    </row>
    <row r="135">
      <c r="A135" s="66" t="s">
        <v>442</v>
      </c>
      <c r="B135" s="81">
        <v>5218.0</v>
      </c>
      <c r="C135" s="61">
        <v>409.0</v>
      </c>
      <c r="D135" s="61"/>
      <c r="E135" s="61"/>
      <c r="F135" s="59" t="s">
        <v>443</v>
      </c>
      <c r="G135" s="59" t="s">
        <v>347</v>
      </c>
      <c r="H135" s="58"/>
      <c r="I135" s="58"/>
      <c r="J135" s="58"/>
      <c r="K135" s="58"/>
      <c r="L135" s="58"/>
      <c r="M135" s="58"/>
      <c r="N135" s="58"/>
      <c r="O135" s="58"/>
    </row>
    <row r="136">
      <c r="A136" s="66" t="s">
        <v>444</v>
      </c>
      <c r="B136" s="60"/>
      <c r="C136" s="69">
        <v>252.0</v>
      </c>
      <c r="D136" s="69"/>
      <c r="E136" s="69"/>
      <c r="F136" s="77" t="s">
        <v>445</v>
      </c>
      <c r="G136" s="59" t="s">
        <v>347</v>
      </c>
      <c r="H136" s="58"/>
      <c r="I136" s="58"/>
      <c r="J136" s="58"/>
      <c r="K136" s="58"/>
      <c r="L136" s="58"/>
      <c r="M136" s="58"/>
      <c r="N136" s="58"/>
      <c r="O136" s="58"/>
    </row>
    <row r="137">
      <c r="A137" s="66" t="s">
        <v>446</v>
      </c>
      <c r="B137" s="60"/>
      <c r="C137" s="69">
        <v>463.0</v>
      </c>
      <c r="D137" s="69"/>
      <c r="E137" s="69"/>
      <c r="F137" s="77" t="s">
        <v>447</v>
      </c>
      <c r="G137" s="59" t="s">
        <v>239</v>
      </c>
      <c r="H137" s="58"/>
      <c r="I137" s="58"/>
      <c r="J137" s="58"/>
      <c r="K137" s="58"/>
      <c r="L137" s="58"/>
      <c r="M137" s="58"/>
      <c r="N137" s="58"/>
      <c r="O137" s="58"/>
    </row>
    <row r="138">
      <c r="A138" s="66" t="s">
        <v>448</v>
      </c>
      <c r="B138" s="81" t="s">
        <v>449</v>
      </c>
      <c r="C138" s="69">
        <v>518.0</v>
      </c>
      <c r="D138" s="69"/>
      <c r="E138" s="61"/>
      <c r="F138" s="59" t="s">
        <v>303</v>
      </c>
      <c r="G138" s="59" t="s">
        <v>239</v>
      </c>
      <c r="H138" s="58"/>
      <c r="I138" s="58"/>
      <c r="J138" s="58"/>
      <c r="K138" s="58"/>
      <c r="L138" s="58"/>
      <c r="M138" s="58"/>
      <c r="N138" s="58"/>
      <c r="O138" s="58"/>
    </row>
    <row r="139">
      <c r="A139" s="62" t="s">
        <v>450</v>
      </c>
      <c r="B139" s="84" t="s">
        <v>451</v>
      </c>
      <c r="C139" s="80">
        <v>325.0</v>
      </c>
      <c r="D139" s="80">
        <v>323.0</v>
      </c>
      <c r="E139" s="80"/>
      <c r="F139" s="62" t="s">
        <v>237</v>
      </c>
      <c r="G139" s="62" t="s">
        <v>233</v>
      </c>
      <c r="H139" s="58"/>
      <c r="I139" s="58"/>
      <c r="J139" s="58"/>
      <c r="K139" s="58"/>
      <c r="L139" s="58"/>
      <c r="M139" s="58"/>
      <c r="N139" s="58"/>
      <c r="O139" s="58"/>
    </row>
    <row r="140">
      <c r="A140" s="59" t="s">
        <v>452</v>
      </c>
      <c r="B140" s="81" t="s">
        <v>453</v>
      </c>
      <c r="C140" s="61">
        <v>408.0</v>
      </c>
      <c r="D140" s="61"/>
      <c r="E140" s="61"/>
      <c r="F140" s="59"/>
      <c r="G140" s="59"/>
      <c r="H140" s="58"/>
      <c r="I140" s="58"/>
      <c r="J140" s="58"/>
      <c r="K140" s="58"/>
      <c r="L140" s="58"/>
      <c r="M140" s="58"/>
      <c r="N140" s="58"/>
      <c r="O140" s="58"/>
    </row>
    <row r="141">
      <c r="A141" s="66" t="s">
        <v>454</v>
      </c>
      <c r="B141" s="81" t="s">
        <v>455</v>
      </c>
      <c r="C141" s="61">
        <v>425.0</v>
      </c>
      <c r="D141" s="61"/>
      <c r="E141" s="61"/>
      <c r="F141" s="59"/>
      <c r="G141" s="59" t="s">
        <v>239</v>
      </c>
      <c r="H141" s="58"/>
      <c r="I141" s="58"/>
      <c r="J141" s="58"/>
      <c r="K141" s="58"/>
      <c r="L141" s="58"/>
      <c r="M141" s="58"/>
      <c r="N141" s="58"/>
      <c r="O141" s="58"/>
    </row>
    <row r="142">
      <c r="A142" s="74" t="s">
        <v>456</v>
      </c>
      <c r="B142" s="83" t="s">
        <v>457</v>
      </c>
      <c r="C142" s="75">
        <v>323.0</v>
      </c>
      <c r="D142" s="75">
        <v>306.0</v>
      </c>
      <c r="E142" s="75"/>
      <c r="F142" s="73" t="s">
        <v>242</v>
      </c>
      <c r="G142" s="74" t="s">
        <v>233</v>
      </c>
      <c r="H142" s="58"/>
      <c r="I142" s="58"/>
      <c r="J142" s="58"/>
      <c r="K142" s="58"/>
      <c r="L142" s="58"/>
      <c r="M142" s="58"/>
      <c r="N142" s="58"/>
      <c r="O142" s="58"/>
    </row>
    <row r="143">
      <c r="A143" s="66" t="s">
        <v>458</v>
      </c>
      <c r="B143" s="81" t="s">
        <v>459</v>
      </c>
      <c r="C143" s="61">
        <v>453.0</v>
      </c>
      <c r="D143" s="61"/>
      <c r="E143" s="61"/>
      <c r="F143" s="59"/>
      <c r="G143" s="59" t="s">
        <v>239</v>
      </c>
      <c r="H143" s="58"/>
      <c r="I143" s="58"/>
      <c r="J143" s="58"/>
      <c r="K143" s="58"/>
      <c r="L143" s="58"/>
      <c r="M143" s="58"/>
      <c r="N143" s="58"/>
      <c r="O143" s="58"/>
    </row>
    <row r="144">
      <c r="A144" s="81" t="s">
        <v>460</v>
      </c>
      <c r="B144" s="60"/>
      <c r="C144" s="87">
        <v>461.0</v>
      </c>
      <c r="D144" s="87"/>
      <c r="E144" s="87"/>
      <c r="F144" s="88" t="s">
        <v>461</v>
      </c>
      <c r="G144" s="88" t="s">
        <v>347</v>
      </c>
      <c r="H144" s="58"/>
      <c r="I144" s="58"/>
      <c r="J144" s="58"/>
      <c r="K144" s="58"/>
      <c r="L144" s="58"/>
      <c r="M144" s="58"/>
      <c r="N144" s="58"/>
      <c r="O144" s="58"/>
    </row>
    <row r="145">
      <c r="A145" s="81" t="s">
        <v>462</v>
      </c>
      <c r="B145" s="60"/>
      <c r="C145" s="87">
        <v>370.0</v>
      </c>
      <c r="D145" s="87"/>
      <c r="E145" s="87"/>
      <c r="F145" s="88" t="s">
        <v>463</v>
      </c>
      <c r="G145" s="59" t="s">
        <v>239</v>
      </c>
      <c r="H145" s="58"/>
      <c r="I145" s="58"/>
      <c r="J145" s="58"/>
      <c r="K145" s="58"/>
      <c r="L145" s="58"/>
      <c r="M145" s="58"/>
      <c r="N145" s="58"/>
      <c r="O145" s="58"/>
    </row>
    <row r="146">
      <c r="A146" s="81" t="s">
        <v>464</v>
      </c>
      <c r="B146" s="60"/>
      <c r="C146" s="87">
        <v>338.0</v>
      </c>
      <c r="D146" s="87"/>
      <c r="E146" s="87"/>
      <c r="F146" s="88" t="s">
        <v>463</v>
      </c>
      <c r="G146" s="59" t="s">
        <v>239</v>
      </c>
      <c r="H146" s="58"/>
      <c r="I146" s="58"/>
      <c r="J146" s="58"/>
      <c r="K146" s="58"/>
      <c r="L146" s="58"/>
      <c r="M146" s="58"/>
      <c r="N146" s="58"/>
      <c r="O146" s="58"/>
    </row>
    <row r="147">
      <c r="A147" s="81" t="s">
        <v>465</v>
      </c>
      <c r="B147" s="60"/>
      <c r="C147" s="87">
        <v>422.0</v>
      </c>
      <c r="D147" s="87"/>
      <c r="E147" s="87"/>
      <c r="F147" s="88" t="s">
        <v>463</v>
      </c>
      <c r="G147" s="59" t="s">
        <v>239</v>
      </c>
      <c r="H147" s="58"/>
      <c r="I147" s="58"/>
      <c r="J147" s="58"/>
      <c r="K147" s="58"/>
      <c r="L147" s="58"/>
      <c r="M147" s="58"/>
      <c r="N147" s="58"/>
      <c r="O147" s="58"/>
    </row>
    <row r="148">
      <c r="A148" s="81" t="s">
        <v>466</v>
      </c>
      <c r="B148" s="60"/>
      <c r="C148" s="87">
        <v>372.0</v>
      </c>
      <c r="D148" s="87"/>
      <c r="E148" s="87"/>
      <c r="F148" s="88" t="s">
        <v>463</v>
      </c>
      <c r="G148" s="59" t="s">
        <v>239</v>
      </c>
      <c r="H148" s="58"/>
      <c r="I148" s="58"/>
      <c r="J148" s="58"/>
      <c r="K148" s="58"/>
      <c r="L148" s="58"/>
      <c r="M148" s="58"/>
      <c r="N148" s="58"/>
      <c r="O148" s="58"/>
    </row>
    <row r="149">
      <c r="A149" s="81" t="s">
        <v>467</v>
      </c>
      <c r="B149" s="60"/>
      <c r="C149" s="87">
        <v>374.0</v>
      </c>
      <c r="D149" s="87"/>
      <c r="E149" s="87"/>
      <c r="F149" s="88" t="s">
        <v>463</v>
      </c>
      <c r="G149" s="59" t="s">
        <v>239</v>
      </c>
      <c r="H149" s="58"/>
      <c r="I149" s="58"/>
      <c r="J149" s="58"/>
      <c r="K149" s="58"/>
      <c r="L149" s="58"/>
      <c r="M149" s="58"/>
      <c r="N149" s="58"/>
      <c r="O149" s="58"/>
    </row>
    <row r="150">
      <c r="A150" s="88" t="s">
        <v>468</v>
      </c>
      <c r="B150" s="60"/>
      <c r="C150" s="87">
        <v>358.0</v>
      </c>
      <c r="D150" s="87"/>
      <c r="E150" s="87"/>
      <c r="F150" s="88" t="s">
        <v>463</v>
      </c>
      <c r="G150" s="59" t="s">
        <v>239</v>
      </c>
      <c r="H150" s="58"/>
      <c r="I150" s="58"/>
      <c r="J150" s="58"/>
      <c r="K150" s="58"/>
      <c r="L150" s="58"/>
      <c r="M150" s="58"/>
      <c r="N150" s="58"/>
      <c r="O150" s="58"/>
    </row>
    <row r="151">
      <c r="A151" s="81" t="s">
        <v>469</v>
      </c>
      <c r="B151" s="60"/>
      <c r="C151" s="87">
        <v>387.0</v>
      </c>
      <c r="D151" s="87"/>
      <c r="E151" s="87"/>
      <c r="F151" s="88" t="s">
        <v>463</v>
      </c>
      <c r="G151" s="59" t="s">
        <v>347</v>
      </c>
      <c r="H151" s="58"/>
      <c r="I151" s="58"/>
      <c r="J151" s="58"/>
      <c r="K151" s="58"/>
      <c r="L151" s="58"/>
      <c r="M151" s="58"/>
      <c r="N151" s="58"/>
      <c r="O151" s="58"/>
    </row>
    <row r="152">
      <c r="A152" s="88" t="s">
        <v>470</v>
      </c>
      <c r="B152" s="60"/>
      <c r="C152" s="87">
        <v>286.0</v>
      </c>
      <c r="D152" s="87"/>
      <c r="E152" s="87"/>
      <c r="F152" s="88" t="s">
        <v>471</v>
      </c>
      <c r="G152" s="88" t="s">
        <v>233</v>
      </c>
      <c r="H152" s="58"/>
      <c r="I152" s="58"/>
      <c r="J152" s="58"/>
      <c r="K152" s="58"/>
      <c r="L152" s="58"/>
      <c r="M152" s="58"/>
      <c r="N152" s="58"/>
      <c r="O152" s="58"/>
    </row>
    <row r="153">
      <c r="A153" s="81">
        <v>6462.0</v>
      </c>
      <c r="B153" s="60"/>
      <c r="C153" s="89"/>
      <c r="D153" s="89"/>
      <c r="E153" s="89"/>
      <c r="F153" s="90"/>
      <c r="G153" s="90"/>
      <c r="H153" s="58"/>
      <c r="I153" s="58"/>
      <c r="J153" s="58"/>
      <c r="K153" s="58"/>
      <c r="L153" s="58"/>
      <c r="M153" s="58"/>
      <c r="N153" s="58"/>
      <c r="O153" s="58"/>
    </row>
    <row r="154">
      <c r="A154" s="88" t="s">
        <v>472</v>
      </c>
      <c r="B154" s="60"/>
      <c r="C154" s="89"/>
      <c r="D154" s="89"/>
      <c r="E154" s="89"/>
      <c r="F154" s="90"/>
      <c r="G154" s="90"/>
      <c r="H154" s="58"/>
      <c r="I154" s="58"/>
      <c r="J154" s="58"/>
      <c r="K154" s="58"/>
      <c r="L154" s="58"/>
      <c r="M154" s="58"/>
      <c r="N154" s="58"/>
      <c r="O154" s="58"/>
    </row>
    <row r="155">
      <c r="A155" s="91" t="s">
        <v>473</v>
      </c>
      <c r="B155" s="71"/>
      <c r="C155" s="92">
        <v>380.0</v>
      </c>
      <c r="D155" s="92"/>
      <c r="E155" s="92"/>
      <c r="F155" s="73" t="s">
        <v>242</v>
      </c>
      <c r="G155" s="74" t="s">
        <v>233</v>
      </c>
      <c r="H155" s="58"/>
      <c r="I155" s="58"/>
      <c r="J155" s="58"/>
      <c r="K155" s="58"/>
      <c r="L155" s="58"/>
      <c r="M155" s="58"/>
      <c r="N155" s="58"/>
      <c r="O155" s="58"/>
    </row>
    <row r="156">
      <c r="A156" s="84">
        <v>24184.0</v>
      </c>
      <c r="B156" s="84" t="s">
        <v>343</v>
      </c>
      <c r="C156" s="93"/>
      <c r="D156" s="93"/>
      <c r="E156" s="93">
        <v>356.0</v>
      </c>
      <c r="F156" s="94" t="s">
        <v>237</v>
      </c>
      <c r="G156" s="62" t="s">
        <v>233</v>
      </c>
      <c r="H156" s="58"/>
      <c r="I156" s="58"/>
      <c r="J156" s="58"/>
      <c r="K156" s="58"/>
      <c r="L156" s="58"/>
      <c r="M156" s="58"/>
      <c r="N156" s="58"/>
      <c r="O156" s="58"/>
    </row>
    <row r="157">
      <c r="A157" s="81">
        <v>1545.0</v>
      </c>
      <c r="B157" s="60"/>
      <c r="C157" s="87"/>
      <c r="D157" s="87"/>
      <c r="E157" s="87"/>
      <c r="F157" s="88" t="s">
        <v>474</v>
      </c>
      <c r="G157" s="88" t="s">
        <v>233</v>
      </c>
      <c r="H157" s="58"/>
      <c r="I157" s="58"/>
      <c r="J157" s="58"/>
      <c r="K157" s="58"/>
      <c r="L157" s="58"/>
      <c r="M157" s="58"/>
      <c r="N157" s="58"/>
      <c r="O157" s="58"/>
    </row>
    <row r="158">
      <c r="A158" s="81">
        <v>1578.0</v>
      </c>
      <c r="B158" s="60"/>
      <c r="C158" s="87"/>
      <c r="D158" s="87"/>
      <c r="E158" s="87"/>
      <c r="F158" s="88" t="s">
        <v>474</v>
      </c>
      <c r="G158" s="88" t="s">
        <v>233</v>
      </c>
      <c r="H158" s="58"/>
      <c r="I158" s="58"/>
      <c r="J158" s="58"/>
      <c r="K158" s="58"/>
      <c r="L158" s="58"/>
      <c r="M158" s="58"/>
      <c r="N158" s="58"/>
      <c r="O158" s="58"/>
    </row>
    <row r="159">
      <c r="A159" s="81">
        <v>1575.0</v>
      </c>
      <c r="B159" s="60"/>
      <c r="C159" s="87"/>
      <c r="D159" s="87"/>
      <c r="E159" s="87"/>
      <c r="F159" s="88" t="s">
        <v>474</v>
      </c>
      <c r="G159" s="88" t="s">
        <v>233</v>
      </c>
      <c r="H159" s="58"/>
      <c r="I159" s="58"/>
      <c r="J159" s="58"/>
      <c r="K159" s="58"/>
      <c r="L159" s="58"/>
      <c r="M159" s="58"/>
      <c r="N159" s="58"/>
      <c r="O159" s="58"/>
    </row>
    <row r="160">
      <c r="A160" s="81">
        <v>24426.0</v>
      </c>
      <c r="B160" s="60"/>
      <c r="C160" s="87"/>
      <c r="D160" s="87"/>
      <c r="E160" s="87"/>
      <c r="F160" s="88" t="s">
        <v>475</v>
      </c>
      <c r="G160" s="59" t="s">
        <v>347</v>
      </c>
      <c r="H160" s="58"/>
      <c r="I160" s="58"/>
      <c r="J160" s="58"/>
      <c r="K160" s="58"/>
      <c r="L160" s="58"/>
      <c r="M160" s="58"/>
      <c r="N160" s="58"/>
      <c r="O160" s="58"/>
    </row>
    <row r="161">
      <c r="A161" s="81">
        <v>1352.0</v>
      </c>
      <c r="B161" s="60"/>
      <c r="C161" s="87"/>
      <c r="D161" s="87"/>
      <c r="E161" s="87"/>
      <c r="F161" s="88" t="s">
        <v>475</v>
      </c>
      <c r="G161" s="59" t="s">
        <v>239</v>
      </c>
      <c r="H161" s="58"/>
      <c r="I161" s="58"/>
      <c r="J161" s="58"/>
      <c r="K161" s="58"/>
      <c r="L161" s="58"/>
      <c r="M161" s="58"/>
      <c r="N161" s="58"/>
      <c r="O161" s="58"/>
    </row>
    <row r="162">
      <c r="A162" s="81">
        <v>1345.0</v>
      </c>
      <c r="B162" s="60"/>
      <c r="C162" s="87"/>
      <c r="D162" s="87"/>
      <c r="E162" s="87"/>
      <c r="F162" s="88" t="s">
        <v>475</v>
      </c>
      <c r="G162" s="59" t="s">
        <v>347</v>
      </c>
      <c r="H162" s="58"/>
      <c r="I162" s="58"/>
      <c r="J162" s="58"/>
      <c r="K162" s="58"/>
      <c r="L162" s="58"/>
      <c r="M162" s="58"/>
      <c r="N162" s="58"/>
      <c r="O162" s="58"/>
    </row>
    <row r="163">
      <c r="A163" s="81">
        <v>24193.0</v>
      </c>
      <c r="B163" s="60"/>
      <c r="C163" s="87"/>
      <c r="D163" s="87"/>
      <c r="E163" s="87"/>
      <c r="F163" s="88" t="s">
        <v>475</v>
      </c>
      <c r="G163" s="59" t="s">
        <v>239</v>
      </c>
      <c r="H163" s="58"/>
      <c r="I163" s="58"/>
      <c r="J163" s="58"/>
      <c r="K163" s="58"/>
      <c r="L163" s="58"/>
      <c r="M163" s="58"/>
      <c r="N163" s="58"/>
      <c r="O163" s="58"/>
    </row>
    <row r="164">
      <c r="A164" s="81"/>
      <c r="B164" s="60"/>
      <c r="C164" s="87"/>
      <c r="D164" s="87"/>
      <c r="E164" s="87"/>
      <c r="F164" s="88"/>
      <c r="G164" s="88"/>
      <c r="H164" s="58"/>
      <c r="I164" s="58"/>
      <c r="J164" s="58"/>
      <c r="K164" s="58"/>
      <c r="L164" s="58"/>
      <c r="M164" s="58"/>
      <c r="N164" s="58"/>
      <c r="O164" s="58"/>
    </row>
    <row r="165">
      <c r="A165" s="81"/>
      <c r="B165" s="60"/>
      <c r="C165" s="87"/>
      <c r="D165" s="87"/>
      <c r="E165" s="87"/>
      <c r="F165" s="88"/>
      <c r="G165" s="88"/>
      <c r="H165" s="58"/>
      <c r="I165" s="58"/>
      <c r="J165" s="58"/>
      <c r="K165" s="58"/>
      <c r="L165" s="58"/>
      <c r="M165" s="58"/>
      <c r="N165" s="58"/>
      <c r="O165" s="58"/>
    </row>
    <row r="166">
      <c r="A166" s="81"/>
      <c r="B166" s="60"/>
      <c r="C166" s="87"/>
      <c r="D166" s="87"/>
      <c r="E166" s="87"/>
      <c r="F166" s="88"/>
      <c r="G166" s="88"/>
      <c r="H166" s="58"/>
      <c r="I166" s="58"/>
      <c r="J166" s="58"/>
      <c r="K166" s="58"/>
      <c r="L166" s="58"/>
      <c r="M166" s="58"/>
      <c r="N166" s="58"/>
      <c r="O166" s="58"/>
    </row>
    <row r="167">
      <c r="A167" s="81"/>
      <c r="B167" s="60"/>
      <c r="C167" s="87"/>
      <c r="D167" s="87"/>
      <c r="E167" s="87"/>
      <c r="F167" s="88"/>
      <c r="G167" s="88"/>
      <c r="H167" s="58"/>
      <c r="I167" s="58"/>
      <c r="J167" s="58"/>
      <c r="K167" s="58"/>
      <c r="L167" s="58"/>
      <c r="M167" s="58"/>
      <c r="N167" s="58"/>
      <c r="O167" s="58"/>
    </row>
    <row r="168">
      <c r="A168" s="81"/>
      <c r="B168" s="60"/>
      <c r="C168" s="87"/>
      <c r="D168" s="87"/>
      <c r="E168" s="87"/>
      <c r="F168" s="88"/>
      <c r="G168" s="88"/>
      <c r="H168" s="58"/>
      <c r="I168" s="58"/>
      <c r="J168" s="58"/>
      <c r="K168" s="58"/>
      <c r="L168" s="58"/>
      <c r="M168" s="58"/>
      <c r="N168" s="58"/>
      <c r="O168" s="58"/>
    </row>
    <row r="169">
      <c r="A169" s="81"/>
      <c r="B169" s="60"/>
      <c r="C169" s="87"/>
      <c r="D169" s="87"/>
      <c r="E169" s="87"/>
      <c r="F169" s="88"/>
      <c r="G169" s="88"/>
      <c r="H169" s="58"/>
      <c r="I169" s="58"/>
      <c r="J169" s="58"/>
      <c r="K169" s="58"/>
      <c r="L169" s="58"/>
      <c r="M169" s="58"/>
      <c r="N169" s="58"/>
      <c r="O169" s="58"/>
    </row>
    <row r="170">
      <c r="A170" s="81"/>
      <c r="B170" s="60"/>
      <c r="C170" s="87"/>
      <c r="D170" s="87"/>
      <c r="E170" s="87"/>
      <c r="F170" s="88"/>
      <c r="G170" s="88"/>
      <c r="H170" s="58"/>
      <c r="I170" s="58"/>
      <c r="J170" s="58"/>
      <c r="K170" s="58"/>
      <c r="L170" s="58"/>
      <c r="M170" s="58"/>
      <c r="N170" s="58"/>
      <c r="O170" s="58"/>
    </row>
    <row r="171">
      <c r="A171" s="81"/>
      <c r="B171" s="60"/>
      <c r="C171" s="87"/>
      <c r="D171" s="87"/>
      <c r="E171" s="87"/>
      <c r="F171" s="88"/>
      <c r="G171" s="88"/>
      <c r="H171" s="58"/>
      <c r="I171" s="58"/>
      <c r="J171" s="58"/>
      <c r="K171" s="58"/>
      <c r="L171" s="58"/>
      <c r="M171" s="58"/>
      <c r="N171" s="58"/>
      <c r="O171" s="58"/>
    </row>
    <row r="172">
      <c r="A172" s="81"/>
      <c r="B172" s="60"/>
      <c r="C172" s="87"/>
      <c r="D172" s="87"/>
      <c r="E172" s="87"/>
      <c r="F172" s="88"/>
      <c r="G172" s="88"/>
      <c r="H172" s="58"/>
      <c r="I172" s="58"/>
      <c r="J172" s="58"/>
      <c r="K172" s="58"/>
      <c r="L172" s="58"/>
      <c r="M172" s="58"/>
      <c r="N172" s="58"/>
      <c r="O172" s="58"/>
    </row>
    <row r="173">
      <c r="A173" s="81"/>
      <c r="B173" s="60"/>
      <c r="C173" s="87"/>
      <c r="D173" s="87"/>
      <c r="E173" s="87"/>
      <c r="F173" s="88"/>
      <c r="G173" s="88"/>
      <c r="H173" s="58"/>
      <c r="I173" s="58"/>
      <c r="J173" s="58"/>
      <c r="K173" s="58"/>
      <c r="L173" s="58"/>
      <c r="M173" s="58"/>
      <c r="N173" s="58"/>
      <c r="O173" s="58"/>
    </row>
    <row r="174">
      <c r="A174" s="81"/>
      <c r="B174" s="60"/>
      <c r="C174" s="87"/>
      <c r="D174" s="87"/>
      <c r="E174" s="87"/>
      <c r="F174" s="88"/>
      <c r="G174" s="88"/>
      <c r="H174" s="58"/>
      <c r="I174" s="58"/>
      <c r="J174" s="58"/>
      <c r="K174" s="58"/>
      <c r="L174" s="58"/>
      <c r="M174" s="58"/>
      <c r="N174" s="58"/>
      <c r="O174" s="58"/>
    </row>
    <row r="175">
      <c r="A175" s="81"/>
      <c r="B175" s="60"/>
      <c r="C175" s="87"/>
      <c r="D175" s="87"/>
      <c r="E175" s="87"/>
      <c r="F175" s="88"/>
      <c r="G175" s="88"/>
      <c r="H175" s="58"/>
      <c r="I175" s="58"/>
      <c r="J175" s="58"/>
      <c r="K175" s="58"/>
      <c r="L175" s="58"/>
      <c r="M175" s="58"/>
      <c r="N175" s="58"/>
      <c r="O175" s="58"/>
    </row>
    <row r="176">
      <c r="A176" s="81"/>
      <c r="B176" s="60"/>
      <c r="C176" s="87"/>
      <c r="D176" s="87"/>
      <c r="E176" s="87"/>
      <c r="F176" s="88"/>
      <c r="G176" s="88"/>
      <c r="H176" s="58"/>
      <c r="I176" s="58"/>
      <c r="J176" s="58"/>
      <c r="K176" s="58"/>
      <c r="L176" s="58"/>
      <c r="M176" s="58"/>
      <c r="N176" s="58"/>
      <c r="O176" s="58"/>
    </row>
    <row r="177">
      <c r="A177" s="81"/>
      <c r="B177" s="60"/>
      <c r="C177" s="87"/>
      <c r="D177" s="87"/>
      <c r="E177" s="87"/>
      <c r="F177" s="88"/>
      <c r="G177" s="88"/>
      <c r="H177" s="58"/>
      <c r="I177" s="58"/>
      <c r="J177" s="58"/>
      <c r="K177" s="58"/>
      <c r="L177" s="58"/>
      <c r="M177" s="58"/>
      <c r="N177" s="58"/>
      <c r="O177" s="58"/>
    </row>
    <row r="178">
      <c r="A178" s="81"/>
      <c r="B178" s="60"/>
      <c r="C178" s="87"/>
      <c r="D178" s="87"/>
      <c r="E178" s="87"/>
      <c r="F178" s="88"/>
      <c r="G178" s="88"/>
      <c r="H178" s="58"/>
      <c r="I178" s="58"/>
      <c r="J178" s="58"/>
      <c r="K178" s="58"/>
      <c r="L178" s="58"/>
      <c r="M178" s="58"/>
      <c r="N178" s="58"/>
      <c r="O178" s="58"/>
    </row>
    <row r="179">
      <c r="A179" s="81"/>
      <c r="B179" s="60"/>
      <c r="C179" s="87"/>
      <c r="D179" s="87"/>
      <c r="E179" s="87"/>
      <c r="F179" s="88"/>
      <c r="G179" s="88"/>
      <c r="H179" s="58"/>
      <c r="I179" s="58"/>
      <c r="J179" s="58"/>
      <c r="K179" s="58"/>
      <c r="L179" s="58"/>
      <c r="M179" s="58"/>
      <c r="N179" s="58"/>
      <c r="O179" s="58"/>
    </row>
    <row r="180">
      <c r="A180" s="81"/>
      <c r="B180" s="60"/>
      <c r="C180" s="87"/>
      <c r="D180" s="87"/>
      <c r="E180" s="87"/>
      <c r="F180" s="88"/>
      <c r="G180" s="88"/>
      <c r="H180" s="58"/>
      <c r="I180" s="58"/>
      <c r="J180" s="58"/>
      <c r="K180" s="58"/>
      <c r="L180" s="58"/>
      <c r="M180" s="58"/>
      <c r="N180" s="58"/>
      <c r="O180" s="58"/>
    </row>
    <row r="181">
      <c r="A181" s="81"/>
      <c r="B181" s="60"/>
      <c r="C181" s="87"/>
      <c r="D181" s="87"/>
      <c r="E181" s="87"/>
      <c r="F181" s="88"/>
      <c r="G181" s="88"/>
      <c r="H181" s="58"/>
      <c r="I181" s="58"/>
      <c r="J181" s="58"/>
      <c r="K181" s="58"/>
      <c r="L181" s="58"/>
      <c r="M181" s="58"/>
      <c r="N181" s="58"/>
      <c r="O181" s="58"/>
    </row>
    <row r="182">
      <c r="A182" s="81"/>
      <c r="B182" s="60"/>
      <c r="C182" s="87"/>
      <c r="D182" s="87"/>
      <c r="E182" s="87"/>
      <c r="F182" s="88"/>
      <c r="G182" s="88"/>
      <c r="H182" s="58"/>
      <c r="I182" s="58"/>
      <c r="J182" s="58"/>
      <c r="K182" s="58"/>
      <c r="L182" s="58"/>
      <c r="M182" s="58"/>
      <c r="N182" s="58"/>
      <c r="O182" s="58"/>
    </row>
    <row r="183">
      <c r="A183" s="81"/>
      <c r="B183" s="60"/>
      <c r="C183" s="87"/>
      <c r="D183" s="87"/>
      <c r="E183" s="87"/>
      <c r="F183" s="88"/>
      <c r="G183" s="88"/>
      <c r="H183" s="58"/>
      <c r="I183" s="58"/>
      <c r="J183" s="58"/>
      <c r="K183" s="58"/>
      <c r="L183" s="58"/>
      <c r="M183" s="58"/>
      <c r="N183" s="58"/>
      <c r="O183" s="58"/>
    </row>
    <row r="184">
      <c r="A184" s="81"/>
      <c r="B184" s="60"/>
      <c r="C184" s="87"/>
      <c r="D184" s="87"/>
      <c r="E184" s="87"/>
      <c r="F184" s="88"/>
      <c r="G184" s="88"/>
      <c r="H184" s="58"/>
      <c r="I184" s="58"/>
      <c r="J184" s="58"/>
      <c r="K184" s="58"/>
      <c r="L184" s="58"/>
      <c r="M184" s="58"/>
      <c r="N184" s="58"/>
      <c r="O184" s="58"/>
    </row>
    <row r="185">
      <c r="A185" s="81"/>
      <c r="B185" s="60"/>
      <c r="C185" s="87"/>
      <c r="D185" s="87"/>
      <c r="E185" s="87"/>
      <c r="F185" s="88"/>
      <c r="G185" s="88"/>
      <c r="H185" s="58"/>
      <c r="I185" s="58"/>
      <c r="J185" s="58"/>
      <c r="K185" s="58"/>
      <c r="L185" s="58"/>
      <c r="M185" s="58"/>
      <c r="N185" s="58"/>
      <c r="O185" s="58"/>
    </row>
    <row r="186">
      <c r="A186" s="81"/>
      <c r="B186" s="60"/>
      <c r="C186" s="87"/>
      <c r="D186" s="87"/>
      <c r="E186" s="87"/>
      <c r="F186" s="88"/>
      <c r="G186" s="88"/>
      <c r="H186" s="58"/>
      <c r="I186" s="58"/>
      <c r="J186" s="58"/>
      <c r="K186" s="58"/>
      <c r="L186" s="58"/>
      <c r="M186" s="58"/>
      <c r="N186" s="58"/>
      <c r="O186" s="58"/>
    </row>
    <row r="187">
      <c r="A187" s="81"/>
      <c r="B187" s="60"/>
      <c r="C187" s="87"/>
      <c r="D187" s="87"/>
      <c r="E187" s="87"/>
      <c r="F187" s="88"/>
      <c r="G187" s="88"/>
      <c r="H187" s="58"/>
      <c r="I187" s="58"/>
      <c r="J187" s="58"/>
      <c r="K187" s="58"/>
      <c r="L187" s="58"/>
      <c r="M187" s="58"/>
      <c r="N187" s="58"/>
      <c r="O187" s="58"/>
    </row>
    <row r="188">
      <c r="A188" s="81"/>
      <c r="B188" s="60"/>
      <c r="C188" s="87"/>
      <c r="D188" s="87"/>
      <c r="E188" s="87"/>
      <c r="F188" s="88"/>
      <c r="G188" s="88"/>
      <c r="H188" s="58"/>
      <c r="I188" s="58"/>
      <c r="J188" s="58"/>
      <c r="K188" s="58"/>
      <c r="L188" s="58"/>
      <c r="M188" s="58"/>
      <c r="N188" s="58"/>
      <c r="O188" s="58"/>
    </row>
    <row r="189">
      <c r="A189" s="81"/>
      <c r="B189" s="60"/>
      <c r="C189" s="87"/>
      <c r="D189" s="87"/>
      <c r="E189" s="87"/>
      <c r="F189" s="88"/>
      <c r="G189" s="88"/>
      <c r="H189" s="58"/>
      <c r="I189" s="58"/>
      <c r="J189" s="58"/>
      <c r="K189" s="58"/>
      <c r="L189" s="58"/>
      <c r="M189" s="58"/>
      <c r="N189" s="58"/>
      <c r="O189" s="58"/>
    </row>
    <row r="190">
      <c r="A190" s="81"/>
      <c r="B190" s="60"/>
      <c r="C190" s="87"/>
      <c r="D190" s="87"/>
      <c r="E190" s="87"/>
      <c r="F190" s="88"/>
      <c r="G190" s="88"/>
      <c r="H190" s="58"/>
      <c r="I190" s="58"/>
      <c r="J190" s="58"/>
      <c r="K190" s="58"/>
      <c r="L190" s="58"/>
      <c r="M190" s="58"/>
      <c r="N190" s="58"/>
      <c r="O190" s="58"/>
    </row>
    <row r="191">
      <c r="A191" s="81"/>
      <c r="B191" s="60"/>
      <c r="C191" s="87"/>
      <c r="D191" s="87"/>
      <c r="E191" s="87"/>
      <c r="F191" s="88"/>
      <c r="G191" s="88"/>
      <c r="H191" s="58"/>
      <c r="I191" s="58"/>
      <c r="J191" s="58"/>
      <c r="K191" s="58"/>
      <c r="L191" s="58"/>
      <c r="M191" s="58"/>
      <c r="N191" s="58"/>
      <c r="O191" s="58"/>
    </row>
    <row r="192">
      <c r="A192" s="81"/>
      <c r="B192" s="60"/>
      <c r="C192" s="87"/>
      <c r="D192" s="87"/>
      <c r="E192" s="87"/>
      <c r="F192" s="88"/>
      <c r="G192" s="88"/>
      <c r="H192" s="58"/>
      <c r="I192" s="58"/>
      <c r="J192" s="58"/>
      <c r="K192" s="58"/>
      <c r="L192" s="58"/>
      <c r="M192" s="58"/>
      <c r="N192" s="58"/>
      <c r="O192" s="58"/>
    </row>
    <row r="193">
      <c r="A193" s="81"/>
      <c r="B193" s="60"/>
      <c r="C193" s="87"/>
      <c r="D193" s="87"/>
      <c r="E193" s="87"/>
      <c r="F193" s="88"/>
      <c r="G193" s="88"/>
      <c r="H193" s="58"/>
      <c r="I193" s="58"/>
      <c r="J193" s="58"/>
      <c r="K193" s="58"/>
      <c r="L193" s="58"/>
      <c r="M193" s="58"/>
      <c r="N193" s="58"/>
      <c r="O193" s="58"/>
    </row>
    <row r="194">
      <c r="A194" s="81"/>
      <c r="B194" s="60"/>
      <c r="C194" s="87"/>
      <c r="D194" s="87"/>
      <c r="E194" s="87"/>
      <c r="F194" s="88"/>
      <c r="G194" s="88"/>
      <c r="H194" s="58"/>
      <c r="I194" s="58"/>
      <c r="J194" s="58"/>
      <c r="K194" s="58"/>
      <c r="L194" s="58"/>
      <c r="M194" s="58"/>
      <c r="N194" s="58"/>
      <c r="O194" s="58"/>
    </row>
    <row r="195">
      <c r="A195" s="81"/>
      <c r="B195" s="60"/>
      <c r="C195" s="87"/>
      <c r="D195" s="87"/>
      <c r="E195" s="87"/>
      <c r="F195" s="88"/>
      <c r="G195" s="88"/>
      <c r="H195" s="58"/>
      <c r="I195" s="58"/>
      <c r="J195" s="58"/>
      <c r="K195" s="58"/>
      <c r="L195" s="58"/>
      <c r="M195" s="58"/>
      <c r="N195" s="58"/>
      <c r="O195" s="58"/>
    </row>
    <row r="196">
      <c r="A196" s="95"/>
      <c r="B196" s="95"/>
      <c r="C196" s="52"/>
      <c r="D196" s="52"/>
      <c r="E196" s="52"/>
      <c r="F196" s="58"/>
      <c r="G196" s="58"/>
      <c r="H196" s="58"/>
      <c r="I196" s="58"/>
      <c r="J196" s="58"/>
      <c r="K196" s="58"/>
      <c r="L196" s="58"/>
      <c r="M196" s="58"/>
      <c r="N196" s="58"/>
      <c r="O196" s="58"/>
    </row>
    <row r="197">
      <c r="A197" s="95"/>
      <c r="B197" s="95"/>
      <c r="C197" s="52"/>
      <c r="D197" s="52"/>
      <c r="E197" s="52"/>
      <c r="F197" s="58"/>
      <c r="G197" s="58"/>
      <c r="H197" s="58"/>
      <c r="I197" s="58"/>
      <c r="J197" s="58"/>
      <c r="K197" s="58"/>
      <c r="L197" s="58"/>
      <c r="M197" s="58"/>
      <c r="N197" s="58"/>
      <c r="O197" s="58"/>
    </row>
    <row r="198">
      <c r="A198" s="95"/>
      <c r="B198" s="95"/>
      <c r="C198" s="52"/>
      <c r="D198" s="52"/>
      <c r="E198" s="52"/>
      <c r="F198" s="58"/>
      <c r="G198" s="58"/>
      <c r="H198" s="58"/>
      <c r="I198" s="58"/>
      <c r="J198" s="58"/>
      <c r="K198" s="58"/>
      <c r="L198" s="58"/>
      <c r="M198" s="58"/>
      <c r="N198" s="58"/>
      <c r="O198" s="58"/>
    </row>
    <row r="199">
      <c r="A199" s="95"/>
      <c r="B199" s="95"/>
      <c r="C199" s="52"/>
      <c r="D199" s="52"/>
      <c r="E199" s="52"/>
      <c r="F199" s="58"/>
      <c r="G199" s="58"/>
      <c r="H199" s="58"/>
      <c r="I199" s="58"/>
      <c r="J199" s="58"/>
      <c r="K199" s="58"/>
      <c r="L199" s="58"/>
      <c r="M199" s="58"/>
      <c r="N199" s="58"/>
      <c r="O199" s="58"/>
    </row>
    <row r="200">
      <c r="A200" s="95"/>
      <c r="B200" s="95"/>
      <c r="C200" s="52"/>
      <c r="D200" s="52"/>
      <c r="E200" s="52"/>
      <c r="F200" s="58"/>
      <c r="G200" s="58"/>
      <c r="H200" s="58"/>
      <c r="I200" s="58"/>
      <c r="J200" s="58"/>
      <c r="K200" s="58"/>
      <c r="L200" s="58"/>
      <c r="M200" s="58"/>
      <c r="N200" s="58"/>
      <c r="O200" s="58"/>
    </row>
    <row r="201">
      <c r="A201" s="95"/>
      <c r="B201" s="95"/>
      <c r="C201" s="52"/>
      <c r="D201" s="52"/>
      <c r="E201" s="52"/>
      <c r="F201" s="58"/>
      <c r="G201" s="58"/>
      <c r="H201" s="58"/>
      <c r="I201" s="58"/>
      <c r="J201" s="58"/>
      <c r="K201" s="58"/>
      <c r="L201" s="58"/>
      <c r="M201" s="58"/>
      <c r="N201" s="58"/>
      <c r="O201" s="58"/>
    </row>
    <row r="202">
      <c r="A202" s="95"/>
      <c r="B202" s="95"/>
      <c r="C202" s="52"/>
      <c r="D202" s="52"/>
      <c r="E202" s="52"/>
      <c r="F202" s="58"/>
      <c r="G202" s="58"/>
      <c r="H202" s="58"/>
      <c r="I202" s="58"/>
      <c r="J202" s="58"/>
      <c r="K202" s="58"/>
      <c r="L202" s="58"/>
      <c r="M202" s="58"/>
      <c r="N202" s="58"/>
      <c r="O202" s="58"/>
    </row>
    <row r="203">
      <c r="A203" s="95"/>
      <c r="B203" s="95"/>
      <c r="C203" s="52"/>
      <c r="D203" s="52"/>
      <c r="E203" s="52"/>
      <c r="F203" s="58"/>
      <c r="G203" s="58"/>
      <c r="H203" s="58"/>
      <c r="I203" s="58"/>
      <c r="J203" s="58"/>
      <c r="K203" s="58"/>
      <c r="L203" s="58"/>
      <c r="M203" s="58"/>
      <c r="N203" s="58"/>
      <c r="O203" s="58"/>
    </row>
    <row r="204">
      <c r="A204" s="95"/>
      <c r="B204" s="95"/>
      <c r="C204" s="52"/>
      <c r="D204" s="52"/>
      <c r="E204" s="52"/>
      <c r="F204" s="58"/>
      <c r="G204" s="58"/>
      <c r="H204" s="58"/>
      <c r="I204" s="58"/>
      <c r="J204" s="58"/>
      <c r="K204" s="58"/>
      <c r="L204" s="58"/>
      <c r="M204" s="58"/>
      <c r="N204" s="58"/>
      <c r="O204" s="58"/>
    </row>
    <row r="205">
      <c r="A205" s="95"/>
      <c r="B205" s="95"/>
      <c r="C205" s="52"/>
      <c r="D205" s="52"/>
      <c r="E205" s="52"/>
      <c r="F205" s="58"/>
      <c r="G205" s="58"/>
      <c r="H205" s="58"/>
      <c r="I205" s="58"/>
      <c r="J205" s="58"/>
      <c r="K205" s="58"/>
      <c r="L205" s="58"/>
      <c r="M205" s="58"/>
      <c r="N205" s="58"/>
      <c r="O205" s="58"/>
    </row>
    <row r="206">
      <c r="A206" s="95"/>
      <c r="B206" s="95"/>
      <c r="C206" s="52"/>
      <c r="D206" s="52"/>
      <c r="E206" s="52"/>
      <c r="F206" s="58"/>
      <c r="G206" s="58"/>
      <c r="H206" s="58"/>
      <c r="I206" s="58"/>
      <c r="J206" s="58"/>
      <c r="K206" s="58"/>
      <c r="L206" s="58"/>
      <c r="M206" s="58"/>
      <c r="N206" s="58"/>
      <c r="O206" s="58"/>
    </row>
    <row r="207">
      <c r="A207" s="95"/>
      <c r="B207" s="95"/>
      <c r="C207" s="52"/>
      <c r="D207" s="52"/>
      <c r="E207" s="52"/>
      <c r="F207" s="58"/>
      <c r="G207" s="58"/>
      <c r="H207" s="58"/>
      <c r="I207" s="58"/>
      <c r="J207" s="58"/>
      <c r="K207" s="58"/>
      <c r="L207" s="58"/>
      <c r="M207" s="58"/>
      <c r="N207" s="58"/>
      <c r="O207" s="58"/>
    </row>
    <row r="208">
      <c r="A208" s="95"/>
      <c r="B208" s="95"/>
      <c r="C208" s="52"/>
      <c r="D208" s="52"/>
      <c r="E208" s="52"/>
      <c r="F208" s="58"/>
      <c r="G208" s="58"/>
      <c r="H208" s="58"/>
      <c r="I208" s="58"/>
      <c r="J208" s="58"/>
      <c r="K208" s="58"/>
      <c r="L208" s="58"/>
      <c r="M208" s="58"/>
      <c r="N208" s="58"/>
      <c r="O208" s="58"/>
    </row>
    <row r="209">
      <c r="A209" s="95"/>
      <c r="B209" s="95"/>
      <c r="C209" s="52"/>
      <c r="D209" s="52"/>
      <c r="E209" s="52"/>
      <c r="F209" s="58"/>
      <c r="G209" s="58"/>
      <c r="H209" s="58"/>
      <c r="I209" s="58"/>
      <c r="J209" s="58"/>
      <c r="K209" s="58"/>
      <c r="L209" s="58"/>
      <c r="M209" s="58"/>
      <c r="N209" s="58"/>
      <c r="O209" s="58"/>
    </row>
    <row r="210">
      <c r="A210" s="95"/>
      <c r="B210" s="95"/>
      <c r="C210" s="52"/>
      <c r="D210" s="52"/>
      <c r="E210" s="52"/>
      <c r="F210" s="58"/>
      <c r="G210" s="58"/>
      <c r="H210" s="58"/>
      <c r="I210" s="58"/>
      <c r="J210" s="58"/>
      <c r="K210" s="58"/>
      <c r="L210" s="58"/>
      <c r="M210" s="58"/>
      <c r="N210" s="58"/>
      <c r="O210" s="58"/>
    </row>
    <row r="211">
      <c r="A211" s="95"/>
      <c r="B211" s="95"/>
      <c r="C211" s="52"/>
      <c r="D211" s="52"/>
      <c r="E211" s="52"/>
      <c r="F211" s="58"/>
      <c r="G211" s="58"/>
      <c r="H211" s="58"/>
      <c r="I211" s="58"/>
      <c r="J211" s="58"/>
      <c r="K211" s="58"/>
      <c r="L211" s="58"/>
      <c r="M211" s="58"/>
      <c r="N211" s="58"/>
      <c r="O211" s="58"/>
    </row>
    <row r="212">
      <c r="A212" s="95"/>
      <c r="B212" s="95"/>
      <c r="C212" s="52"/>
      <c r="D212" s="52"/>
      <c r="E212" s="52"/>
      <c r="F212" s="58"/>
      <c r="G212" s="58"/>
      <c r="H212" s="58"/>
      <c r="I212" s="58"/>
      <c r="J212" s="58"/>
      <c r="K212" s="58"/>
      <c r="L212" s="58"/>
      <c r="M212" s="58"/>
      <c r="N212" s="58"/>
      <c r="O212" s="58"/>
    </row>
    <row r="213">
      <c r="A213" s="95"/>
      <c r="B213" s="95"/>
      <c r="C213" s="52"/>
      <c r="D213" s="52"/>
      <c r="E213" s="52"/>
      <c r="F213" s="58"/>
      <c r="G213" s="58"/>
      <c r="H213" s="58"/>
      <c r="I213" s="58"/>
      <c r="J213" s="58"/>
      <c r="K213" s="58"/>
      <c r="L213" s="58"/>
      <c r="M213" s="58"/>
      <c r="N213" s="58"/>
      <c r="O213" s="58"/>
    </row>
    <row r="214">
      <c r="A214" s="95"/>
      <c r="B214" s="95"/>
      <c r="C214" s="52"/>
      <c r="D214" s="52"/>
      <c r="E214" s="52"/>
      <c r="F214" s="58"/>
      <c r="G214" s="58"/>
      <c r="H214" s="58"/>
      <c r="I214" s="58"/>
      <c r="J214" s="58"/>
      <c r="K214" s="58"/>
      <c r="L214" s="58"/>
      <c r="M214" s="58"/>
      <c r="N214" s="58"/>
      <c r="O214" s="58"/>
    </row>
    <row r="215">
      <c r="A215" s="95"/>
      <c r="B215" s="95"/>
      <c r="C215" s="52"/>
      <c r="D215" s="52"/>
      <c r="E215" s="52"/>
      <c r="F215" s="58"/>
      <c r="G215" s="58"/>
      <c r="H215" s="58"/>
      <c r="I215" s="58"/>
      <c r="J215" s="58"/>
      <c r="K215" s="58"/>
      <c r="L215" s="58"/>
      <c r="M215" s="58"/>
      <c r="N215" s="58"/>
      <c r="O215" s="58"/>
    </row>
    <row r="216">
      <c r="A216" s="95"/>
      <c r="B216" s="95"/>
      <c r="C216" s="52"/>
      <c r="D216" s="52"/>
      <c r="E216" s="52"/>
      <c r="F216" s="58"/>
      <c r="G216" s="58"/>
      <c r="H216" s="58"/>
      <c r="I216" s="58"/>
      <c r="J216" s="58"/>
      <c r="K216" s="58"/>
      <c r="L216" s="58"/>
      <c r="M216" s="58"/>
      <c r="N216" s="58"/>
      <c r="O216" s="58"/>
    </row>
    <row r="217">
      <c r="A217" s="95"/>
      <c r="B217" s="95"/>
      <c r="C217" s="52"/>
      <c r="D217" s="52"/>
      <c r="E217" s="52"/>
      <c r="F217" s="58"/>
      <c r="G217" s="58"/>
      <c r="H217" s="58"/>
      <c r="I217" s="58"/>
      <c r="J217" s="58"/>
      <c r="K217" s="58"/>
      <c r="L217" s="58"/>
      <c r="M217" s="58"/>
      <c r="N217" s="58"/>
      <c r="O217" s="58"/>
    </row>
    <row r="218">
      <c r="A218" s="95"/>
      <c r="B218" s="95"/>
      <c r="C218" s="52"/>
      <c r="D218" s="52"/>
      <c r="E218" s="52"/>
      <c r="F218" s="58"/>
      <c r="G218" s="58"/>
      <c r="H218" s="58"/>
      <c r="I218" s="58"/>
      <c r="J218" s="58"/>
      <c r="K218" s="58"/>
      <c r="L218" s="58"/>
      <c r="M218" s="58"/>
      <c r="N218" s="58"/>
      <c r="O218" s="58"/>
    </row>
    <row r="219">
      <c r="A219" s="95"/>
      <c r="B219" s="95"/>
      <c r="C219" s="52"/>
      <c r="D219" s="52"/>
      <c r="E219" s="52"/>
      <c r="F219" s="58"/>
      <c r="G219" s="58"/>
      <c r="H219" s="58"/>
      <c r="I219" s="58"/>
      <c r="J219" s="58"/>
      <c r="K219" s="58"/>
      <c r="L219" s="58"/>
      <c r="M219" s="58"/>
      <c r="N219" s="58"/>
      <c r="O219" s="58"/>
    </row>
    <row r="220">
      <c r="A220" s="95"/>
      <c r="B220" s="95"/>
      <c r="C220" s="52"/>
      <c r="D220" s="52"/>
      <c r="E220" s="52"/>
      <c r="F220" s="58"/>
      <c r="G220" s="58"/>
      <c r="H220" s="58"/>
      <c r="I220" s="58"/>
      <c r="J220" s="58"/>
      <c r="K220" s="58"/>
      <c r="L220" s="58"/>
      <c r="M220" s="58"/>
      <c r="N220" s="58"/>
      <c r="O220" s="58"/>
    </row>
    <row r="221">
      <c r="A221" s="95"/>
      <c r="B221" s="95"/>
      <c r="C221" s="52"/>
      <c r="D221" s="52"/>
      <c r="E221" s="52"/>
      <c r="F221" s="58"/>
      <c r="G221" s="58"/>
      <c r="H221" s="58"/>
      <c r="I221" s="58"/>
      <c r="J221" s="58"/>
      <c r="K221" s="58"/>
      <c r="L221" s="58"/>
      <c r="M221" s="58"/>
      <c r="N221" s="58"/>
      <c r="O221" s="58"/>
    </row>
    <row r="222">
      <c r="A222" s="95"/>
      <c r="B222" s="95"/>
      <c r="C222" s="52"/>
      <c r="D222" s="52"/>
      <c r="E222" s="52"/>
      <c r="F222" s="58"/>
      <c r="G222" s="58"/>
      <c r="H222" s="58"/>
      <c r="I222" s="58"/>
      <c r="J222" s="58"/>
      <c r="K222" s="58"/>
      <c r="L222" s="58"/>
      <c r="M222" s="58"/>
      <c r="N222" s="58"/>
      <c r="O222" s="58"/>
    </row>
    <row r="223">
      <c r="A223" s="95"/>
      <c r="B223" s="95"/>
      <c r="C223" s="52"/>
      <c r="D223" s="52"/>
      <c r="E223" s="52"/>
      <c r="F223" s="58"/>
      <c r="G223" s="58"/>
      <c r="H223" s="58"/>
      <c r="I223" s="58"/>
      <c r="J223" s="58"/>
      <c r="K223" s="58"/>
      <c r="L223" s="58"/>
      <c r="M223" s="58"/>
      <c r="N223" s="58"/>
      <c r="O223" s="58"/>
    </row>
    <row r="224">
      <c r="A224" s="95"/>
      <c r="B224" s="95"/>
      <c r="C224" s="52"/>
      <c r="D224" s="52"/>
      <c r="E224" s="52"/>
      <c r="F224" s="58"/>
      <c r="G224" s="58"/>
      <c r="H224" s="58"/>
      <c r="I224" s="58"/>
      <c r="J224" s="58"/>
      <c r="K224" s="58"/>
      <c r="L224" s="58"/>
      <c r="M224" s="58"/>
      <c r="N224" s="58"/>
      <c r="O224" s="58"/>
    </row>
    <row r="225">
      <c r="A225" s="95"/>
      <c r="B225" s="95"/>
      <c r="C225" s="52"/>
      <c r="D225" s="52"/>
      <c r="E225" s="52"/>
      <c r="F225" s="58"/>
      <c r="G225" s="58"/>
      <c r="H225" s="58"/>
      <c r="I225" s="58"/>
      <c r="J225" s="58"/>
      <c r="K225" s="58"/>
      <c r="L225" s="58"/>
      <c r="M225" s="58"/>
      <c r="N225" s="58"/>
      <c r="O225" s="58"/>
    </row>
    <row r="226">
      <c r="A226" s="95"/>
      <c r="B226" s="95"/>
      <c r="C226" s="52"/>
      <c r="D226" s="52"/>
      <c r="E226" s="52"/>
      <c r="F226" s="58"/>
      <c r="G226" s="58"/>
      <c r="H226" s="58"/>
      <c r="I226" s="58"/>
      <c r="J226" s="58"/>
      <c r="K226" s="58"/>
      <c r="L226" s="58"/>
      <c r="M226" s="58"/>
      <c r="N226" s="58"/>
      <c r="O226" s="58"/>
    </row>
    <row r="227">
      <c r="A227" s="95"/>
      <c r="B227" s="95"/>
      <c r="C227" s="52"/>
      <c r="D227" s="52"/>
      <c r="E227" s="52"/>
      <c r="F227" s="58"/>
      <c r="G227" s="58"/>
      <c r="H227" s="58"/>
      <c r="I227" s="58"/>
      <c r="J227" s="58"/>
      <c r="K227" s="58"/>
      <c r="L227" s="58"/>
      <c r="M227" s="58"/>
      <c r="N227" s="58"/>
      <c r="O227" s="58"/>
    </row>
    <row r="228">
      <c r="A228" s="95"/>
      <c r="B228" s="95"/>
      <c r="C228" s="52"/>
      <c r="D228" s="52"/>
      <c r="E228" s="52"/>
      <c r="F228" s="58"/>
      <c r="G228" s="58"/>
      <c r="H228" s="58"/>
      <c r="I228" s="58"/>
      <c r="J228" s="58"/>
      <c r="K228" s="58"/>
      <c r="L228" s="58"/>
      <c r="M228" s="58"/>
      <c r="N228" s="58"/>
      <c r="O228" s="58"/>
    </row>
    <row r="229">
      <c r="A229" s="95"/>
      <c r="B229" s="95"/>
      <c r="C229" s="52"/>
      <c r="D229" s="52"/>
      <c r="E229" s="52"/>
      <c r="F229" s="58"/>
      <c r="G229" s="58"/>
      <c r="H229" s="58"/>
      <c r="I229" s="58"/>
      <c r="J229" s="58"/>
      <c r="K229" s="58"/>
      <c r="L229" s="58"/>
      <c r="M229" s="58"/>
      <c r="N229" s="58"/>
      <c r="O229" s="58"/>
    </row>
    <row r="230">
      <c r="A230" s="95"/>
      <c r="B230" s="95"/>
      <c r="C230" s="52"/>
      <c r="D230" s="52"/>
      <c r="E230" s="52"/>
      <c r="F230" s="58"/>
      <c r="G230" s="58"/>
      <c r="H230" s="58"/>
      <c r="I230" s="58"/>
      <c r="J230" s="58"/>
      <c r="K230" s="58"/>
      <c r="L230" s="58"/>
      <c r="M230" s="58"/>
      <c r="N230" s="58"/>
      <c r="O230" s="58"/>
    </row>
    <row r="231">
      <c r="A231" s="95"/>
      <c r="B231" s="95"/>
      <c r="C231" s="52"/>
      <c r="D231" s="52"/>
      <c r="E231" s="52"/>
      <c r="F231" s="58"/>
      <c r="G231" s="58"/>
      <c r="H231" s="58"/>
      <c r="I231" s="58"/>
      <c r="J231" s="58"/>
      <c r="K231" s="58"/>
      <c r="L231" s="58"/>
      <c r="M231" s="58"/>
      <c r="N231" s="58"/>
      <c r="O231" s="58"/>
    </row>
    <row r="232">
      <c r="A232" s="95"/>
      <c r="B232" s="95"/>
      <c r="C232" s="52"/>
      <c r="D232" s="52"/>
      <c r="E232" s="52"/>
      <c r="F232" s="58"/>
      <c r="G232" s="58"/>
      <c r="H232" s="58"/>
      <c r="I232" s="58"/>
      <c r="J232" s="58"/>
      <c r="K232" s="58"/>
      <c r="L232" s="58"/>
      <c r="M232" s="58"/>
      <c r="N232" s="58"/>
      <c r="O232" s="58"/>
    </row>
    <row r="233">
      <c r="A233" s="95"/>
      <c r="B233" s="95"/>
      <c r="C233" s="52"/>
      <c r="D233" s="52"/>
      <c r="E233" s="52"/>
      <c r="F233" s="58"/>
      <c r="G233" s="58"/>
      <c r="H233" s="58"/>
      <c r="I233" s="58"/>
      <c r="J233" s="58"/>
      <c r="K233" s="58"/>
      <c r="L233" s="58"/>
      <c r="M233" s="58"/>
      <c r="N233" s="58"/>
      <c r="O233" s="58"/>
    </row>
    <row r="234">
      <c r="A234" s="95"/>
      <c r="B234" s="95"/>
      <c r="C234" s="52"/>
      <c r="D234" s="52"/>
      <c r="E234" s="52"/>
      <c r="F234" s="58"/>
      <c r="G234" s="58"/>
      <c r="H234" s="58"/>
      <c r="I234" s="58"/>
      <c r="J234" s="58"/>
      <c r="K234" s="58"/>
      <c r="L234" s="58"/>
      <c r="M234" s="58"/>
      <c r="N234" s="58"/>
      <c r="O234" s="58"/>
    </row>
    <row r="235">
      <c r="A235" s="95"/>
      <c r="B235" s="95"/>
      <c r="C235" s="52"/>
      <c r="D235" s="52"/>
      <c r="E235" s="52"/>
      <c r="F235" s="58"/>
      <c r="G235" s="58"/>
      <c r="H235" s="58"/>
      <c r="I235" s="58"/>
      <c r="J235" s="58"/>
      <c r="K235" s="58"/>
      <c r="L235" s="58"/>
      <c r="M235" s="58"/>
      <c r="N235" s="58"/>
      <c r="O235" s="58"/>
    </row>
    <row r="236">
      <c r="A236" s="95"/>
      <c r="B236" s="95"/>
      <c r="C236" s="52"/>
      <c r="D236" s="52"/>
      <c r="E236" s="52"/>
      <c r="F236" s="58"/>
      <c r="G236" s="58"/>
      <c r="H236" s="58"/>
      <c r="I236" s="58"/>
      <c r="J236" s="58"/>
      <c r="K236" s="58"/>
      <c r="L236" s="58"/>
      <c r="M236" s="58"/>
      <c r="N236" s="58"/>
      <c r="O236" s="58"/>
    </row>
    <row r="237">
      <c r="A237" s="95"/>
      <c r="B237" s="95"/>
      <c r="C237" s="52"/>
      <c r="D237" s="52"/>
      <c r="E237" s="52"/>
      <c r="F237" s="58"/>
      <c r="G237" s="58"/>
      <c r="H237" s="58"/>
      <c r="I237" s="58"/>
      <c r="J237" s="58"/>
      <c r="K237" s="58"/>
      <c r="L237" s="58"/>
      <c r="M237" s="58"/>
      <c r="N237" s="58"/>
      <c r="O237" s="58"/>
    </row>
    <row r="238">
      <c r="A238" s="95"/>
      <c r="B238" s="95"/>
      <c r="C238" s="52"/>
      <c r="D238" s="52"/>
      <c r="E238" s="52"/>
      <c r="F238" s="58"/>
      <c r="G238" s="58"/>
      <c r="H238" s="58"/>
      <c r="I238" s="58"/>
      <c r="J238" s="58"/>
      <c r="K238" s="58"/>
      <c r="L238" s="58"/>
      <c r="M238" s="58"/>
      <c r="N238" s="58"/>
      <c r="O238" s="58"/>
    </row>
    <row r="239">
      <c r="A239" s="95"/>
      <c r="B239" s="95"/>
      <c r="C239" s="52"/>
      <c r="D239" s="52"/>
      <c r="E239" s="52"/>
      <c r="F239" s="58"/>
      <c r="G239" s="58"/>
      <c r="H239" s="58"/>
      <c r="I239" s="58"/>
      <c r="J239" s="58"/>
      <c r="K239" s="58"/>
      <c r="L239" s="58"/>
      <c r="M239" s="58"/>
      <c r="N239" s="58"/>
      <c r="O239" s="58"/>
    </row>
    <row r="240">
      <c r="A240" s="95"/>
      <c r="B240" s="95"/>
      <c r="C240" s="52"/>
      <c r="D240" s="52"/>
      <c r="E240" s="52"/>
      <c r="F240" s="58"/>
      <c r="G240" s="58"/>
      <c r="H240" s="58"/>
      <c r="I240" s="58"/>
      <c r="J240" s="58"/>
      <c r="K240" s="58"/>
      <c r="L240" s="58"/>
      <c r="M240" s="58"/>
      <c r="N240" s="58"/>
      <c r="O240" s="58"/>
    </row>
    <row r="241">
      <c r="A241" s="95"/>
      <c r="B241" s="95"/>
      <c r="C241" s="52"/>
      <c r="D241" s="52"/>
      <c r="E241" s="52"/>
      <c r="F241" s="58"/>
      <c r="G241" s="58"/>
      <c r="H241" s="58"/>
      <c r="I241" s="58"/>
      <c r="J241" s="58"/>
      <c r="K241" s="58"/>
      <c r="L241" s="58"/>
      <c r="M241" s="58"/>
      <c r="N241" s="58"/>
      <c r="O241" s="58"/>
    </row>
    <row r="242">
      <c r="A242" s="95"/>
      <c r="B242" s="95"/>
      <c r="C242" s="52"/>
      <c r="D242" s="52"/>
      <c r="E242" s="52"/>
      <c r="F242" s="58"/>
      <c r="G242" s="58"/>
      <c r="H242" s="58"/>
      <c r="I242" s="58"/>
      <c r="J242" s="58"/>
      <c r="K242" s="58"/>
      <c r="L242" s="58"/>
      <c r="M242" s="58"/>
      <c r="N242" s="58"/>
      <c r="O242" s="58"/>
    </row>
    <row r="243">
      <c r="A243" s="95"/>
      <c r="B243" s="95"/>
      <c r="C243" s="52"/>
      <c r="D243" s="52"/>
      <c r="E243" s="52"/>
      <c r="F243" s="58"/>
      <c r="G243" s="58"/>
      <c r="H243" s="58"/>
      <c r="I243" s="58"/>
      <c r="J243" s="58"/>
      <c r="K243" s="58"/>
      <c r="L243" s="58"/>
      <c r="M243" s="58"/>
      <c r="N243" s="58"/>
      <c r="O243" s="58"/>
    </row>
    <row r="244">
      <c r="A244" s="95"/>
      <c r="B244" s="95"/>
      <c r="C244" s="52"/>
      <c r="D244" s="52"/>
      <c r="E244" s="52"/>
      <c r="F244" s="58"/>
      <c r="G244" s="58"/>
      <c r="H244" s="58"/>
      <c r="I244" s="58"/>
      <c r="J244" s="58"/>
      <c r="K244" s="58"/>
      <c r="L244" s="58"/>
      <c r="M244" s="58"/>
      <c r="N244" s="58"/>
      <c r="O244" s="58"/>
    </row>
    <row r="245">
      <c r="A245" s="95"/>
      <c r="B245" s="95"/>
      <c r="C245" s="52"/>
      <c r="D245" s="52"/>
      <c r="E245" s="52"/>
      <c r="F245" s="58"/>
      <c r="G245" s="58"/>
      <c r="H245" s="58"/>
      <c r="I245" s="58"/>
      <c r="J245" s="58"/>
      <c r="K245" s="58"/>
      <c r="L245" s="58"/>
      <c r="M245" s="58"/>
      <c r="N245" s="58"/>
      <c r="O245" s="58"/>
    </row>
    <row r="246">
      <c r="A246" s="95"/>
      <c r="B246" s="95"/>
      <c r="C246" s="52"/>
      <c r="D246" s="52"/>
      <c r="E246" s="52"/>
      <c r="F246" s="58"/>
      <c r="G246" s="58"/>
      <c r="H246" s="58"/>
      <c r="I246" s="58"/>
      <c r="J246" s="58"/>
      <c r="K246" s="58"/>
      <c r="L246" s="58"/>
      <c r="M246" s="58"/>
      <c r="N246" s="58"/>
      <c r="O246" s="58"/>
    </row>
    <row r="247">
      <c r="A247" s="95"/>
      <c r="B247" s="95"/>
      <c r="C247" s="52"/>
      <c r="D247" s="52"/>
      <c r="E247" s="52"/>
      <c r="F247" s="58"/>
      <c r="G247" s="58"/>
      <c r="H247" s="58"/>
      <c r="I247" s="58"/>
      <c r="J247" s="58"/>
      <c r="K247" s="58"/>
      <c r="L247" s="58"/>
      <c r="M247" s="58"/>
      <c r="N247" s="58"/>
      <c r="O247" s="58"/>
    </row>
    <row r="248">
      <c r="A248" s="95"/>
      <c r="B248" s="95"/>
      <c r="C248" s="52"/>
      <c r="D248" s="52"/>
      <c r="E248" s="52"/>
      <c r="F248" s="58"/>
      <c r="G248" s="58"/>
      <c r="H248" s="58"/>
      <c r="I248" s="58"/>
      <c r="J248" s="58"/>
      <c r="K248" s="58"/>
      <c r="L248" s="58"/>
      <c r="M248" s="58"/>
      <c r="N248" s="58"/>
      <c r="O248" s="58"/>
    </row>
    <row r="249">
      <c r="A249" s="95"/>
      <c r="B249" s="95"/>
      <c r="C249" s="52"/>
      <c r="D249" s="52"/>
      <c r="E249" s="52"/>
      <c r="F249" s="58"/>
      <c r="G249" s="58"/>
      <c r="H249" s="58"/>
      <c r="I249" s="58"/>
      <c r="J249" s="58"/>
      <c r="K249" s="58"/>
      <c r="L249" s="58"/>
      <c r="M249" s="58"/>
      <c r="N249" s="58"/>
      <c r="O249" s="58"/>
    </row>
    <row r="250">
      <c r="A250" s="95"/>
      <c r="B250" s="95"/>
      <c r="C250" s="52"/>
      <c r="D250" s="52"/>
      <c r="E250" s="52"/>
      <c r="F250" s="58"/>
      <c r="G250" s="58"/>
      <c r="H250" s="58"/>
      <c r="I250" s="58"/>
      <c r="J250" s="58"/>
      <c r="K250" s="58"/>
      <c r="L250" s="58"/>
      <c r="M250" s="58"/>
      <c r="N250" s="58"/>
      <c r="O250" s="58"/>
    </row>
    <row r="251">
      <c r="A251" s="95"/>
      <c r="B251" s="95"/>
      <c r="C251" s="52"/>
      <c r="D251" s="52"/>
      <c r="E251" s="52"/>
      <c r="F251" s="58"/>
      <c r="G251" s="58"/>
      <c r="H251" s="58"/>
      <c r="I251" s="58"/>
      <c r="J251" s="58"/>
      <c r="K251" s="58"/>
      <c r="L251" s="58"/>
      <c r="M251" s="58"/>
      <c r="N251" s="58"/>
      <c r="O251" s="58"/>
    </row>
    <row r="252">
      <c r="A252" s="95"/>
      <c r="B252" s="95"/>
      <c r="C252" s="52"/>
      <c r="D252" s="52"/>
      <c r="E252" s="52"/>
      <c r="F252" s="58"/>
      <c r="G252" s="58"/>
      <c r="H252" s="58"/>
      <c r="I252" s="58"/>
      <c r="J252" s="58"/>
      <c r="K252" s="58"/>
      <c r="L252" s="58"/>
      <c r="M252" s="58"/>
      <c r="N252" s="58"/>
      <c r="O252" s="58"/>
    </row>
    <row r="253">
      <c r="A253" s="95"/>
      <c r="B253" s="95"/>
      <c r="C253" s="52"/>
      <c r="D253" s="52"/>
      <c r="E253" s="52"/>
      <c r="F253" s="58"/>
      <c r="G253" s="58"/>
      <c r="H253" s="58"/>
      <c r="I253" s="58"/>
      <c r="J253" s="58"/>
      <c r="K253" s="58"/>
      <c r="L253" s="58"/>
      <c r="M253" s="58"/>
      <c r="N253" s="58"/>
      <c r="O253" s="58"/>
    </row>
    <row r="254">
      <c r="A254" s="95"/>
      <c r="B254" s="95"/>
      <c r="C254" s="52"/>
      <c r="D254" s="52"/>
      <c r="E254" s="52"/>
      <c r="F254" s="58"/>
      <c r="G254" s="58"/>
      <c r="H254" s="58"/>
      <c r="I254" s="58"/>
      <c r="J254" s="58"/>
      <c r="K254" s="58"/>
      <c r="L254" s="58"/>
      <c r="M254" s="58"/>
      <c r="N254" s="58"/>
      <c r="O254" s="58"/>
    </row>
    <row r="255">
      <c r="A255" s="95"/>
      <c r="B255" s="95"/>
      <c r="C255" s="52"/>
      <c r="D255" s="52"/>
      <c r="E255" s="52"/>
      <c r="F255" s="58"/>
      <c r="G255" s="58"/>
      <c r="H255" s="58"/>
      <c r="I255" s="58"/>
      <c r="J255" s="58"/>
      <c r="K255" s="58"/>
      <c r="L255" s="58"/>
      <c r="M255" s="58"/>
      <c r="N255" s="58"/>
      <c r="O255" s="58"/>
    </row>
    <row r="256">
      <c r="A256" s="95"/>
      <c r="B256" s="95"/>
      <c r="C256" s="52"/>
      <c r="D256" s="52"/>
      <c r="E256" s="52"/>
      <c r="F256" s="58"/>
      <c r="G256" s="58"/>
      <c r="H256" s="58"/>
      <c r="I256" s="58"/>
      <c r="J256" s="58"/>
      <c r="K256" s="58"/>
      <c r="L256" s="58"/>
      <c r="M256" s="58"/>
      <c r="N256" s="58"/>
      <c r="O256" s="58"/>
    </row>
    <row r="257">
      <c r="A257" s="95"/>
      <c r="B257" s="95"/>
      <c r="C257" s="52"/>
      <c r="D257" s="52"/>
      <c r="E257" s="52"/>
      <c r="F257" s="58"/>
      <c r="G257" s="58"/>
      <c r="H257" s="58"/>
      <c r="I257" s="58"/>
      <c r="J257" s="58"/>
      <c r="K257" s="58"/>
      <c r="L257" s="58"/>
      <c r="M257" s="58"/>
      <c r="N257" s="58"/>
      <c r="O257" s="58"/>
    </row>
    <row r="258">
      <c r="A258" s="95"/>
      <c r="B258" s="95"/>
      <c r="C258" s="52"/>
      <c r="D258" s="52"/>
      <c r="E258" s="52"/>
      <c r="F258" s="58"/>
      <c r="G258" s="58"/>
      <c r="H258" s="58"/>
      <c r="I258" s="58"/>
      <c r="J258" s="58"/>
      <c r="K258" s="58"/>
      <c r="L258" s="58"/>
      <c r="M258" s="58"/>
      <c r="N258" s="58"/>
      <c r="O258" s="58"/>
    </row>
    <row r="259">
      <c r="A259" s="95"/>
      <c r="B259" s="95"/>
      <c r="C259" s="52"/>
      <c r="D259" s="52"/>
      <c r="E259" s="52"/>
      <c r="F259" s="58"/>
      <c r="G259" s="58"/>
      <c r="H259" s="58"/>
      <c r="I259" s="58"/>
      <c r="J259" s="58"/>
      <c r="K259" s="58"/>
      <c r="L259" s="58"/>
      <c r="M259" s="58"/>
      <c r="N259" s="58"/>
      <c r="O259" s="58"/>
    </row>
    <row r="260">
      <c r="A260" s="95"/>
      <c r="B260" s="95"/>
      <c r="C260" s="52"/>
      <c r="D260" s="52"/>
      <c r="E260" s="52"/>
      <c r="F260" s="58"/>
      <c r="G260" s="58"/>
      <c r="H260" s="58"/>
      <c r="I260" s="58"/>
      <c r="J260" s="58"/>
      <c r="K260" s="58"/>
      <c r="L260" s="58"/>
      <c r="M260" s="58"/>
      <c r="N260" s="58"/>
      <c r="O260" s="58"/>
    </row>
    <row r="261">
      <c r="A261" s="95"/>
      <c r="B261" s="95"/>
      <c r="C261" s="52"/>
      <c r="D261" s="52"/>
      <c r="E261" s="52"/>
      <c r="F261" s="58"/>
      <c r="G261" s="58"/>
      <c r="H261" s="58"/>
      <c r="I261" s="58"/>
      <c r="J261" s="58"/>
      <c r="K261" s="58"/>
      <c r="L261" s="58"/>
      <c r="M261" s="58"/>
      <c r="N261" s="58"/>
      <c r="O261" s="58"/>
    </row>
    <row r="262">
      <c r="A262" s="95"/>
      <c r="B262" s="95"/>
      <c r="C262" s="52"/>
      <c r="D262" s="52"/>
      <c r="E262" s="52"/>
      <c r="F262" s="58"/>
      <c r="G262" s="58"/>
      <c r="H262" s="58"/>
      <c r="I262" s="58"/>
      <c r="J262" s="58"/>
      <c r="K262" s="58"/>
      <c r="L262" s="58"/>
      <c r="M262" s="58"/>
      <c r="N262" s="58"/>
      <c r="O262" s="58"/>
    </row>
    <row r="263">
      <c r="A263" s="95"/>
      <c r="B263" s="95"/>
      <c r="C263" s="52"/>
      <c r="D263" s="52"/>
      <c r="E263" s="52"/>
      <c r="F263" s="58"/>
      <c r="G263" s="58"/>
      <c r="H263" s="58"/>
      <c r="I263" s="58"/>
      <c r="J263" s="58"/>
      <c r="K263" s="58"/>
      <c r="L263" s="58"/>
      <c r="M263" s="58"/>
      <c r="N263" s="58"/>
      <c r="O263" s="58"/>
    </row>
    <row r="264">
      <c r="A264" s="95"/>
      <c r="B264" s="95"/>
      <c r="C264" s="52"/>
      <c r="D264" s="52"/>
      <c r="E264" s="52"/>
      <c r="F264" s="58"/>
      <c r="G264" s="58"/>
      <c r="H264" s="58"/>
      <c r="I264" s="58"/>
      <c r="J264" s="58"/>
      <c r="K264" s="58"/>
      <c r="L264" s="58"/>
      <c r="M264" s="58"/>
      <c r="N264" s="58"/>
      <c r="O264" s="58"/>
    </row>
    <row r="265">
      <c r="A265" s="95"/>
      <c r="B265" s="95"/>
      <c r="C265" s="52"/>
      <c r="D265" s="52"/>
      <c r="E265" s="52"/>
      <c r="F265" s="58"/>
      <c r="G265" s="58"/>
      <c r="H265" s="58"/>
      <c r="I265" s="58"/>
      <c r="J265" s="58"/>
      <c r="K265" s="58"/>
      <c r="L265" s="58"/>
      <c r="M265" s="58"/>
      <c r="N265" s="58"/>
      <c r="O265" s="58"/>
    </row>
    <row r="266">
      <c r="A266" s="95"/>
      <c r="B266" s="95"/>
      <c r="C266" s="52"/>
      <c r="D266" s="52"/>
      <c r="E266" s="52"/>
      <c r="F266" s="58"/>
      <c r="G266" s="58"/>
      <c r="H266" s="58"/>
      <c r="I266" s="58"/>
      <c r="J266" s="58"/>
      <c r="K266" s="58"/>
      <c r="L266" s="58"/>
      <c r="M266" s="58"/>
      <c r="N266" s="58"/>
      <c r="O266" s="58"/>
    </row>
    <row r="267">
      <c r="A267" s="95"/>
      <c r="B267" s="95"/>
      <c r="C267" s="52"/>
      <c r="D267" s="52"/>
      <c r="E267" s="52"/>
      <c r="F267" s="58"/>
      <c r="G267" s="58"/>
      <c r="H267" s="58"/>
      <c r="I267" s="58"/>
      <c r="J267" s="58"/>
      <c r="K267" s="58"/>
      <c r="L267" s="58"/>
      <c r="M267" s="58"/>
      <c r="N267" s="58"/>
      <c r="O267" s="58"/>
    </row>
    <row r="268">
      <c r="A268" s="95"/>
      <c r="B268" s="95"/>
      <c r="C268" s="52"/>
      <c r="D268" s="52"/>
      <c r="E268" s="52"/>
      <c r="F268" s="58"/>
      <c r="G268" s="58"/>
      <c r="H268" s="58"/>
      <c r="I268" s="58"/>
      <c r="J268" s="58"/>
      <c r="K268" s="58"/>
      <c r="L268" s="58"/>
      <c r="M268" s="58"/>
      <c r="N268" s="58"/>
      <c r="O268" s="58"/>
    </row>
    <row r="269">
      <c r="A269" s="95"/>
      <c r="B269" s="95"/>
      <c r="C269" s="52"/>
      <c r="D269" s="52"/>
      <c r="E269" s="52"/>
      <c r="F269" s="58"/>
      <c r="G269" s="58"/>
      <c r="H269" s="58"/>
      <c r="I269" s="58"/>
      <c r="J269" s="58"/>
      <c r="K269" s="58"/>
      <c r="L269" s="58"/>
      <c r="M269" s="58"/>
      <c r="N269" s="58"/>
      <c r="O269" s="58"/>
    </row>
    <row r="270">
      <c r="A270" s="95"/>
      <c r="B270" s="95"/>
      <c r="C270" s="52"/>
      <c r="D270" s="52"/>
      <c r="E270" s="52"/>
      <c r="F270" s="58"/>
      <c r="G270" s="58"/>
      <c r="H270" s="58"/>
      <c r="I270" s="58"/>
      <c r="J270" s="58"/>
      <c r="K270" s="58"/>
      <c r="L270" s="58"/>
      <c r="M270" s="58"/>
      <c r="N270" s="58"/>
      <c r="O270" s="58"/>
    </row>
    <row r="271">
      <c r="A271" s="95"/>
      <c r="B271" s="95"/>
      <c r="C271" s="52"/>
      <c r="D271" s="52"/>
      <c r="E271" s="52"/>
      <c r="F271" s="58"/>
      <c r="G271" s="58"/>
      <c r="H271" s="58"/>
      <c r="I271" s="58"/>
      <c r="J271" s="58"/>
      <c r="K271" s="58"/>
      <c r="L271" s="58"/>
      <c r="M271" s="58"/>
      <c r="N271" s="58"/>
      <c r="O271" s="58"/>
    </row>
    <row r="272">
      <c r="A272" s="95"/>
      <c r="B272" s="95"/>
      <c r="C272" s="52"/>
      <c r="D272" s="52"/>
      <c r="E272" s="52"/>
      <c r="F272" s="58"/>
      <c r="G272" s="58"/>
      <c r="H272" s="58"/>
      <c r="I272" s="58"/>
      <c r="J272" s="58"/>
      <c r="K272" s="58"/>
      <c r="L272" s="58"/>
      <c r="M272" s="58"/>
      <c r="N272" s="58"/>
      <c r="O272" s="58"/>
    </row>
    <row r="273">
      <c r="A273" s="95"/>
      <c r="B273" s="95"/>
      <c r="C273" s="52"/>
      <c r="D273" s="52"/>
      <c r="E273" s="52"/>
      <c r="F273" s="58"/>
      <c r="G273" s="58"/>
      <c r="H273" s="58"/>
      <c r="I273" s="58"/>
      <c r="J273" s="58"/>
      <c r="K273" s="58"/>
      <c r="L273" s="58"/>
      <c r="M273" s="58"/>
      <c r="N273" s="58"/>
      <c r="O273" s="58"/>
    </row>
    <row r="274">
      <c r="A274" s="95"/>
      <c r="B274" s="95"/>
      <c r="C274" s="52"/>
      <c r="D274" s="52"/>
      <c r="E274" s="52"/>
      <c r="F274" s="58"/>
      <c r="G274" s="58"/>
      <c r="H274" s="58"/>
      <c r="I274" s="58"/>
      <c r="J274" s="58"/>
      <c r="K274" s="58"/>
      <c r="L274" s="58"/>
      <c r="M274" s="58"/>
      <c r="N274" s="58"/>
      <c r="O274" s="58"/>
    </row>
    <row r="275">
      <c r="A275" s="95"/>
      <c r="B275" s="95"/>
      <c r="C275" s="52"/>
      <c r="D275" s="52"/>
      <c r="E275" s="52"/>
      <c r="F275" s="58"/>
      <c r="G275" s="58"/>
      <c r="H275" s="58"/>
      <c r="I275" s="58"/>
      <c r="J275" s="58"/>
      <c r="K275" s="58"/>
      <c r="L275" s="58"/>
      <c r="M275" s="58"/>
      <c r="N275" s="58"/>
      <c r="O275" s="58"/>
    </row>
    <row r="276">
      <c r="A276" s="95"/>
      <c r="B276" s="95"/>
      <c r="C276" s="52"/>
      <c r="D276" s="52"/>
      <c r="E276" s="52"/>
      <c r="F276" s="58"/>
      <c r="G276" s="58"/>
      <c r="H276" s="58"/>
      <c r="I276" s="58"/>
      <c r="J276" s="58"/>
      <c r="K276" s="58"/>
      <c r="L276" s="58"/>
      <c r="M276" s="58"/>
      <c r="N276" s="58"/>
      <c r="O276" s="58"/>
    </row>
    <row r="277">
      <c r="A277" s="95"/>
      <c r="B277" s="95"/>
      <c r="C277" s="52"/>
      <c r="D277" s="52"/>
      <c r="E277" s="52"/>
      <c r="F277" s="58"/>
      <c r="G277" s="58"/>
      <c r="H277" s="58"/>
      <c r="I277" s="58"/>
      <c r="J277" s="58"/>
      <c r="K277" s="58"/>
      <c r="L277" s="58"/>
      <c r="M277" s="58"/>
      <c r="N277" s="58"/>
      <c r="O277" s="58"/>
    </row>
    <row r="278">
      <c r="A278" s="95"/>
      <c r="B278" s="95"/>
      <c r="C278" s="52"/>
      <c r="D278" s="52"/>
      <c r="E278" s="52"/>
      <c r="F278" s="58"/>
      <c r="G278" s="58"/>
      <c r="H278" s="58"/>
      <c r="I278" s="58"/>
      <c r="J278" s="58"/>
      <c r="K278" s="58"/>
      <c r="L278" s="58"/>
      <c r="M278" s="58"/>
      <c r="N278" s="58"/>
      <c r="O278" s="58"/>
    </row>
    <row r="279">
      <c r="A279" s="95"/>
      <c r="B279" s="95"/>
      <c r="C279" s="52"/>
      <c r="D279" s="52"/>
      <c r="E279" s="52"/>
      <c r="F279" s="58"/>
      <c r="G279" s="58"/>
      <c r="H279" s="58"/>
      <c r="I279" s="58"/>
      <c r="J279" s="58"/>
      <c r="K279" s="58"/>
      <c r="L279" s="58"/>
      <c r="M279" s="58"/>
      <c r="N279" s="58"/>
      <c r="O279" s="58"/>
    </row>
    <row r="280">
      <c r="A280" s="95"/>
      <c r="B280" s="95"/>
      <c r="C280" s="52"/>
      <c r="D280" s="52"/>
      <c r="E280" s="52"/>
      <c r="F280" s="58"/>
      <c r="G280" s="58"/>
      <c r="H280" s="58"/>
      <c r="I280" s="58"/>
      <c r="J280" s="58"/>
      <c r="K280" s="58"/>
      <c r="L280" s="58"/>
      <c r="M280" s="58"/>
      <c r="N280" s="58"/>
      <c r="O280" s="58"/>
    </row>
    <row r="281">
      <c r="A281" s="95"/>
      <c r="B281" s="95"/>
      <c r="C281" s="52"/>
      <c r="D281" s="52"/>
      <c r="E281" s="52"/>
      <c r="F281" s="58"/>
      <c r="G281" s="58"/>
      <c r="H281" s="58"/>
      <c r="I281" s="58"/>
      <c r="J281" s="58"/>
      <c r="K281" s="58"/>
      <c r="L281" s="58"/>
      <c r="M281" s="58"/>
      <c r="N281" s="58"/>
      <c r="O281" s="58"/>
    </row>
    <row r="282">
      <c r="A282" s="95"/>
      <c r="B282" s="95"/>
      <c r="C282" s="52"/>
      <c r="D282" s="52"/>
      <c r="E282" s="52"/>
      <c r="F282" s="58"/>
      <c r="G282" s="58"/>
      <c r="H282" s="58"/>
      <c r="I282" s="58"/>
      <c r="J282" s="58"/>
      <c r="K282" s="58"/>
      <c r="L282" s="58"/>
      <c r="M282" s="58"/>
      <c r="N282" s="58"/>
      <c r="O282" s="58"/>
    </row>
    <row r="283">
      <c r="A283" s="95"/>
      <c r="B283" s="95"/>
      <c r="C283" s="52"/>
      <c r="D283" s="52"/>
      <c r="E283" s="52"/>
      <c r="F283" s="58"/>
      <c r="G283" s="58"/>
      <c r="H283" s="58"/>
      <c r="I283" s="58"/>
      <c r="J283" s="58"/>
      <c r="K283" s="58"/>
      <c r="L283" s="58"/>
      <c r="M283" s="58"/>
      <c r="N283" s="58"/>
      <c r="O283" s="58"/>
    </row>
    <row r="284">
      <c r="A284" s="95"/>
      <c r="B284" s="95"/>
      <c r="C284" s="52"/>
      <c r="D284" s="52"/>
      <c r="E284" s="52"/>
      <c r="F284" s="58"/>
      <c r="G284" s="58"/>
      <c r="H284" s="58"/>
      <c r="I284" s="58"/>
      <c r="J284" s="58"/>
      <c r="K284" s="58"/>
      <c r="L284" s="58"/>
      <c r="M284" s="58"/>
      <c r="N284" s="58"/>
      <c r="O284" s="58"/>
    </row>
    <row r="285">
      <c r="A285" s="95"/>
      <c r="B285" s="95"/>
      <c r="C285" s="52"/>
      <c r="D285" s="52"/>
      <c r="E285" s="52"/>
      <c r="F285" s="58"/>
      <c r="G285" s="58"/>
      <c r="H285" s="58"/>
      <c r="I285" s="58"/>
      <c r="J285" s="58"/>
      <c r="K285" s="58"/>
      <c r="L285" s="58"/>
      <c r="M285" s="58"/>
      <c r="N285" s="58"/>
      <c r="O285" s="58"/>
    </row>
    <row r="286">
      <c r="A286" s="95"/>
      <c r="B286" s="95"/>
      <c r="C286" s="52"/>
      <c r="D286" s="52"/>
      <c r="E286" s="52"/>
      <c r="F286" s="58"/>
      <c r="G286" s="58"/>
      <c r="H286" s="58"/>
      <c r="I286" s="58"/>
      <c r="J286" s="58"/>
      <c r="K286" s="58"/>
      <c r="L286" s="58"/>
      <c r="M286" s="58"/>
      <c r="N286" s="58"/>
      <c r="O286" s="58"/>
    </row>
    <row r="287">
      <c r="A287" s="95"/>
      <c r="B287" s="95"/>
      <c r="C287" s="52"/>
      <c r="D287" s="52"/>
      <c r="E287" s="52"/>
      <c r="F287" s="58"/>
      <c r="G287" s="58"/>
      <c r="H287" s="58"/>
      <c r="I287" s="58"/>
      <c r="J287" s="58"/>
      <c r="K287" s="58"/>
      <c r="L287" s="58"/>
      <c r="M287" s="58"/>
      <c r="N287" s="58"/>
      <c r="O287" s="58"/>
    </row>
    <row r="288">
      <c r="A288" s="95"/>
      <c r="B288" s="95"/>
      <c r="C288" s="52"/>
      <c r="D288" s="52"/>
      <c r="E288" s="52"/>
      <c r="F288" s="58"/>
      <c r="G288" s="58"/>
      <c r="H288" s="58"/>
      <c r="I288" s="58"/>
      <c r="J288" s="58"/>
      <c r="K288" s="58"/>
      <c r="L288" s="58"/>
      <c r="M288" s="58"/>
      <c r="N288" s="58"/>
      <c r="O288" s="58"/>
    </row>
    <row r="289">
      <c r="A289" s="95"/>
      <c r="B289" s="95"/>
      <c r="C289" s="52"/>
      <c r="D289" s="52"/>
      <c r="E289" s="52"/>
      <c r="F289" s="58"/>
      <c r="G289" s="58"/>
      <c r="H289" s="58"/>
      <c r="I289" s="58"/>
      <c r="J289" s="58"/>
      <c r="K289" s="58"/>
      <c r="L289" s="58"/>
      <c r="M289" s="58"/>
      <c r="N289" s="58"/>
      <c r="O289" s="58"/>
    </row>
    <row r="290">
      <c r="A290" s="95"/>
      <c r="B290" s="95"/>
      <c r="C290" s="52"/>
      <c r="D290" s="52"/>
      <c r="E290" s="52"/>
      <c r="F290" s="58"/>
      <c r="G290" s="58"/>
      <c r="H290" s="58"/>
      <c r="I290" s="58"/>
      <c r="J290" s="58"/>
      <c r="K290" s="58"/>
      <c r="L290" s="58"/>
      <c r="M290" s="58"/>
      <c r="N290" s="58"/>
      <c r="O290" s="58"/>
    </row>
    <row r="291">
      <c r="A291" s="95"/>
      <c r="B291" s="95"/>
      <c r="C291" s="52"/>
      <c r="D291" s="52"/>
      <c r="E291" s="52"/>
      <c r="F291" s="58"/>
      <c r="G291" s="58"/>
      <c r="H291" s="58"/>
      <c r="I291" s="58"/>
      <c r="J291" s="58"/>
      <c r="K291" s="58"/>
      <c r="L291" s="58"/>
      <c r="M291" s="58"/>
      <c r="N291" s="58"/>
      <c r="O291" s="58"/>
    </row>
    <row r="292">
      <c r="A292" s="95"/>
      <c r="B292" s="95"/>
      <c r="C292" s="52"/>
      <c r="D292" s="52"/>
      <c r="E292" s="52"/>
      <c r="F292" s="58"/>
      <c r="G292" s="58"/>
      <c r="H292" s="58"/>
      <c r="I292" s="58"/>
      <c r="J292" s="58"/>
      <c r="K292" s="58"/>
      <c r="L292" s="58"/>
      <c r="M292" s="58"/>
      <c r="N292" s="58"/>
      <c r="O292" s="58"/>
    </row>
    <row r="293">
      <c r="A293" s="95"/>
      <c r="B293" s="95"/>
      <c r="C293" s="52"/>
      <c r="D293" s="52"/>
      <c r="E293" s="52"/>
      <c r="F293" s="58"/>
      <c r="G293" s="58"/>
      <c r="H293" s="58"/>
      <c r="I293" s="58"/>
      <c r="J293" s="58"/>
      <c r="K293" s="58"/>
      <c r="L293" s="58"/>
      <c r="M293" s="58"/>
      <c r="N293" s="58"/>
      <c r="O293" s="58"/>
    </row>
    <row r="294">
      <c r="A294" s="95"/>
      <c r="B294" s="95"/>
      <c r="C294" s="52"/>
      <c r="D294" s="52"/>
      <c r="E294" s="52"/>
      <c r="F294" s="58"/>
      <c r="G294" s="58"/>
      <c r="H294" s="58"/>
      <c r="I294" s="58"/>
      <c r="J294" s="58"/>
      <c r="K294" s="58"/>
      <c r="L294" s="58"/>
      <c r="M294" s="58"/>
      <c r="N294" s="58"/>
      <c r="O294" s="58"/>
    </row>
    <row r="295">
      <c r="A295" s="95"/>
      <c r="B295" s="95"/>
      <c r="C295" s="52"/>
      <c r="D295" s="52"/>
      <c r="E295" s="52"/>
      <c r="F295" s="58"/>
      <c r="G295" s="58"/>
      <c r="H295" s="58"/>
      <c r="I295" s="58"/>
      <c r="J295" s="58"/>
      <c r="K295" s="58"/>
      <c r="L295" s="58"/>
      <c r="M295" s="58"/>
      <c r="N295" s="58"/>
      <c r="O295" s="58"/>
    </row>
    <row r="296">
      <c r="A296" s="95"/>
      <c r="B296" s="95"/>
      <c r="C296" s="52"/>
      <c r="D296" s="52"/>
      <c r="E296" s="52"/>
      <c r="F296" s="58"/>
      <c r="G296" s="58"/>
      <c r="H296" s="58"/>
      <c r="I296" s="58"/>
      <c r="J296" s="58"/>
      <c r="K296" s="58"/>
      <c r="L296" s="58"/>
      <c r="M296" s="58"/>
      <c r="N296" s="58"/>
      <c r="O296" s="58"/>
    </row>
    <row r="297">
      <c r="A297" s="95"/>
      <c r="B297" s="95"/>
      <c r="C297" s="52"/>
      <c r="D297" s="52"/>
      <c r="E297" s="52"/>
      <c r="F297" s="58"/>
      <c r="G297" s="58"/>
      <c r="H297" s="58"/>
      <c r="I297" s="58"/>
      <c r="J297" s="58"/>
      <c r="K297" s="58"/>
      <c r="L297" s="58"/>
      <c r="M297" s="58"/>
      <c r="N297" s="58"/>
      <c r="O297" s="58"/>
    </row>
    <row r="298">
      <c r="A298" s="95"/>
      <c r="B298" s="95"/>
      <c r="C298" s="52"/>
      <c r="D298" s="52"/>
      <c r="E298" s="52"/>
      <c r="F298" s="58"/>
      <c r="G298" s="58"/>
      <c r="H298" s="58"/>
      <c r="I298" s="58"/>
      <c r="J298" s="58"/>
      <c r="K298" s="58"/>
      <c r="L298" s="58"/>
      <c r="M298" s="58"/>
      <c r="N298" s="58"/>
      <c r="O298" s="58"/>
    </row>
    <row r="299">
      <c r="A299" s="95"/>
      <c r="B299" s="95"/>
      <c r="C299" s="52"/>
      <c r="D299" s="52"/>
      <c r="E299" s="52"/>
      <c r="F299" s="58"/>
      <c r="G299" s="58"/>
      <c r="H299" s="58"/>
      <c r="I299" s="58"/>
      <c r="J299" s="58"/>
      <c r="K299" s="58"/>
      <c r="L299" s="58"/>
      <c r="M299" s="58"/>
      <c r="N299" s="58"/>
      <c r="O299" s="58"/>
    </row>
    <row r="300">
      <c r="A300" s="95"/>
      <c r="B300" s="95"/>
      <c r="C300" s="52"/>
      <c r="D300" s="52"/>
      <c r="E300" s="52"/>
      <c r="F300" s="58"/>
      <c r="G300" s="58"/>
      <c r="H300" s="58"/>
      <c r="I300" s="58"/>
      <c r="J300" s="58"/>
      <c r="K300" s="58"/>
      <c r="L300" s="58"/>
      <c r="M300" s="58"/>
      <c r="N300" s="58"/>
      <c r="O300" s="58"/>
    </row>
    <row r="301">
      <c r="A301" s="95"/>
      <c r="B301" s="95"/>
      <c r="C301" s="52"/>
      <c r="D301" s="52"/>
      <c r="E301" s="52"/>
      <c r="F301" s="58"/>
      <c r="G301" s="58"/>
      <c r="H301" s="58"/>
      <c r="I301" s="58"/>
      <c r="J301" s="58"/>
      <c r="K301" s="58"/>
      <c r="L301" s="58"/>
      <c r="M301" s="58"/>
      <c r="N301" s="58"/>
      <c r="O301" s="58"/>
    </row>
    <row r="302">
      <c r="A302" s="95"/>
      <c r="B302" s="95"/>
      <c r="C302" s="52"/>
      <c r="D302" s="52"/>
      <c r="E302" s="52"/>
      <c r="F302" s="58"/>
      <c r="G302" s="58"/>
      <c r="H302" s="58"/>
      <c r="I302" s="58"/>
      <c r="J302" s="58"/>
      <c r="K302" s="58"/>
      <c r="L302" s="58"/>
      <c r="M302" s="58"/>
      <c r="N302" s="58"/>
      <c r="O302" s="58"/>
    </row>
    <row r="303">
      <c r="A303" s="95"/>
      <c r="B303" s="95"/>
      <c r="C303" s="52"/>
      <c r="D303" s="52"/>
      <c r="E303" s="52"/>
      <c r="F303" s="58"/>
      <c r="G303" s="58"/>
      <c r="H303" s="58"/>
      <c r="I303" s="58"/>
      <c r="J303" s="58"/>
      <c r="K303" s="58"/>
      <c r="L303" s="58"/>
      <c r="M303" s="58"/>
      <c r="N303" s="58"/>
      <c r="O303" s="58"/>
    </row>
    <row r="304">
      <c r="A304" s="95"/>
      <c r="B304" s="95"/>
      <c r="C304" s="52"/>
      <c r="D304" s="52"/>
      <c r="E304" s="52"/>
      <c r="F304" s="58"/>
      <c r="G304" s="58"/>
      <c r="H304" s="58"/>
      <c r="I304" s="58"/>
      <c r="J304" s="58"/>
      <c r="K304" s="58"/>
      <c r="L304" s="58"/>
      <c r="M304" s="58"/>
      <c r="N304" s="58"/>
      <c r="O304" s="58"/>
    </row>
    <row r="305">
      <c r="A305" s="95"/>
      <c r="B305" s="95"/>
      <c r="C305" s="52"/>
      <c r="D305" s="52"/>
      <c r="E305" s="52"/>
      <c r="F305" s="58"/>
      <c r="G305" s="58"/>
      <c r="H305" s="58"/>
      <c r="I305" s="58"/>
      <c r="J305" s="58"/>
      <c r="K305" s="58"/>
      <c r="L305" s="58"/>
      <c r="M305" s="58"/>
      <c r="N305" s="58"/>
      <c r="O305" s="58"/>
    </row>
    <row r="306">
      <c r="A306" s="95"/>
      <c r="B306" s="95"/>
      <c r="C306" s="52"/>
      <c r="D306" s="52"/>
      <c r="E306" s="52"/>
      <c r="F306" s="58"/>
      <c r="G306" s="58"/>
      <c r="H306" s="58"/>
      <c r="I306" s="58"/>
      <c r="J306" s="58"/>
      <c r="K306" s="58"/>
      <c r="L306" s="58"/>
      <c r="M306" s="58"/>
      <c r="N306" s="58"/>
      <c r="O306" s="58"/>
    </row>
    <row r="307">
      <c r="A307" s="95"/>
      <c r="B307" s="95"/>
      <c r="C307" s="52"/>
      <c r="D307" s="52"/>
      <c r="E307" s="52"/>
      <c r="F307" s="58"/>
      <c r="G307" s="58"/>
      <c r="H307" s="58"/>
      <c r="I307" s="58"/>
      <c r="J307" s="58"/>
      <c r="K307" s="58"/>
      <c r="L307" s="58"/>
      <c r="M307" s="58"/>
      <c r="N307" s="58"/>
      <c r="O307" s="58"/>
    </row>
    <row r="308">
      <c r="A308" s="95"/>
      <c r="B308" s="95"/>
      <c r="C308" s="52"/>
      <c r="D308" s="52"/>
      <c r="E308" s="52"/>
      <c r="F308" s="58"/>
      <c r="G308" s="58"/>
      <c r="H308" s="58"/>
      <c r="I308" s="58"/>
      <c r="J308" s="58"/>
      <c r="K308" s="58"/>
      <c r="L308" s="58"/>
      <c r="M308" s="58"/>
      <c r="N308" s="58"/>
      <c r="O308" s="58"/>
    </row>
    <row r="309">
      <c r="A309" s="95"/>
      <c r="B309" s="95"/>
      <c r="C309" s="52"/>
      <c r="D309" s="52"/>
      <c r="E309" s="52"/>
      <c r="F309" s="58"/>
      <c r="G309" s="58"/>
      <c r="H309" s="58"/>
      <c r="I309" s="58"/>
      <c r="J309" s="58"/>
      <c r="K309" s="58"/>
      <c r="L309" s="58"/>
      <c r="M309" s="58"/>
      <c r="N309" s="58"/>
      <c r="O309" s="58"/>
    </row>
    <row r="310">
      <c r="A310" s="95"/>
      <c r="B310" s="95"/>
      <c r="C310" s="52"/>
      <c r="D310" s="52"/>
      <c r="E310" s="52"/>
      <c r="F310" s="58"/>
      <c r="G310" s="58"/>
      <c r="H310" s="58"/>
      <c r="I310" s="58"/>
      <c r="J310" s="58"/>
      <c r="K310" s="58"/>
      <c r="L310" s="58"/>
      <c r="M310" s="58"/>
      <c r="N310" s="58"/>
      <c r="O310" s="58"/>
    </row>
    <row r="311">
      <c r="A311" s="95"/>
      <c r="B311" s="95"/>
      <c r="C311" s="52"/>
      <c r="D311" s="52"/>
      <c r="E311" s="52"/>
      <c r="F311" s="58"/>
      <c r="G311" s="58"/>
      <c r="H311" s="58"/>
      <c r="I311" s="58"/>
      <c r="J311" s="58"/>
      <c r="K311" s="58"/>
      <c r="L311" s="58"/>
      <c r="M311" s="58"/>
      <c r="N311" s="58"/>
      <c r="O311" s="58"/>
    </row>
    <row r="312">
      <c r="A312" s="95"/>
      <c r="B312" s="95"/>
      <c r="C312" s="52"/>
      <c r="D312" s="52"/>
      <c r="E312" s="52"/>
      <c r="F312" s="58"/>
      <c r="G312" s="58"/>
      <c r="H312" s="58"/>
      <c r="I312" s="58"/>
      <c r="J312" s="58"/>
      <c r="K312" s="58"/>
      <c r="L312" s="58"/>
      <c r="M312" s="58"/>
      <c r="N312" s="58"/>
      <c r="O312" s="58"/>
    </row>
    <row r="313">
      <c r="A313" s="95"/>
      <c r="B313" s="95"/>
      <c r="C313" s="52"/>
      <c r="D313" s="52"/>
      <c r="E313" s="52"/>
      <c r="F313" s="58"/>
      <c r="G313" s="58"/>
      <c r="H313" s="58"/>
      <c r="I313" s="58"/>
      <c r="J313" s="58"/>
      <c r="K313" s="58"/>
      <c r="L313" s="58"/>
      <c r="M313" s="58"/>
      <c r="N313" s="58"/>
      <c r="O313" s="58"/>
    </row>
    <row r="314">
      <c r="A314" s="95"/>
      <c r="B314" s="95"/>
      <c r="C314" s="52"/>
      <c r="D314" s="52"/>
      <c r="E314" s="52"/>
      <c r="F314" s="58"/>
      <c r="G314" s="58"/>
      <c r="H314" s="58"/>
      <c r="I314" s="58"/>
      <c r="J314" s="58"/>
      <c r="K314" s="58"/>
      <c r="L314" s="58"/>
      <c r="M314" s="58"/>
      <c r="N314" s="58"/>
      <c r="O314" s="58"/>
    </row>
    <row r="315">
      <c r="A315" s="95"/>
      <c r="B315" s="95"/>
      <c r="C315" s="52"/>
      <c r="D315" s="52"/>
      <c r="E315" s="52"/>
      <c r="F315" s="58"/>
      <c r="G315" s="58"/>
      <c r="H315" s="58"/>
      <c r="I315" s="58"/>
      <c r="J315" s="58"/>
      <c r="K315" s="58"/>
      <c r="L315" s="58"/>
      <c r="M315" s="58"/>
      <c r="N315" s="58"/>
      <c r="O315" s="58"/>
    </row>
    <row r="316">
      <c r="A316" s="95"/>
      <c r="B316" s="95"/>
      <c r="C316" s="52"/>
      <c r="D316" s="52"/>
      <c r="E316" s="52"/>
      <c r="F316" s="58"/>
      <c r="G316" s="58"/>
      <c r="H316" s="58"/>
      <c r="I316" s="58"/>
      <c r="J316" s="58"/>
      <c r="K316" s="58"/>
      <c r="L316" s="58"/>
      <c r="M316" s="58"/>
      <c r="N316" s="58"/>
      <c r="O316" s="58"/>
    </row>
    <row r="317">
      <c r="A317" s="95"/>
      <c r="B317" s="95"/>
      <c r="C317" s="52"/>
      <c r="D317" s="52"/>
      <c r="E317" s="52"/>
      <c r="F317" s="58"/>
      <c r="G317" s="58"/>
      <c r="H317" s="58"/>
      <c r="I317" s="58"/>
      <c r="J317" s="58"/>
      <c r="K317" s="58"/>
      <c r="L317" s="58"/>
      <c r="M317" s="58"/>
      <c r="N317" s="58"/>
      <c r="O317" s="58"/>
    </row>
    <row r="318">
      <c r="A318" s="95"/>
      <c r="B318" s="95"/>
      <c r="C318" s="52"/>
      <c r="D318" s="52"/>
      <c r="E318" s="52"/>
      <c r="F318" s="58"/>
      <c r="G318" s="58"/>
      <c r="H318" s="58"/>
      <c r="I318" s="58"/>
      <c r="J318" s="58"/>
      <c r="K318" s="58"/>
      <c r="L318" s="58"/>
      <c r="M318" s="58"/>
      <c r="N318" s="58"/>
      <c r="O318" s="58"/>
    </row>
    <row r="319">
      <c r="A319" s="95"/>
      <c r="B319" s="95"/>
      <c r="C319" s="52"/>
      <c r="D319" s="52"/>
      <c r="E319" s="52"/>
      <c r="F319" s="58"/>
      <c r="G319" s="58"/>
      <c r="H319" s="58"/>
      <c r="I319" s="58"/>
      <c r="J319" s="58"/>
      <c r="K319" s="58"/>
      <c r="L319" s="58"/>
      <c r="M319" s="58"/>
      <c r="N319" s="58"/>
      <c r="O319" s="58"/>
    </row>
    <row r="320">
      <c r="A320" s="95"/>
      <c r="B320" s="95"/>
      <c r="C320" s="52"/>
      <c r="D320" s="52"/>
      <c r="E320" s="52"/>
      <c r="F320" s="58"/>
      <c r="G320" s="58"/>
      <c r="H320" s="58"/>
      <c r="I320" s="58"/>
      <c r="J320" s="58"/>
      <c r="K320" s="58"/>
      <c r="L320" s="58"/>
      <c r="M320" s="58"/>
      <c r="N320" s="58"/>
      <c r="O320" s="58"/>
    </row>
    <row r="321">
      <c r="A321" s="95"/>
      <c r="B321" s="95"/>
      <c r="C321" s="52"/>
      <c r="D321" s="52"/>
      <c r="E321" s="52"/>
      <c r="F321" s="58"/>
      <c r="G321" s="58"/>
      <c r="H321" s="58"/>
      <c r="I321" s="58"/>
      <c r="J321" s="58"/>
      <c r="K321" s="58"/>
      <c r="L321" s="58"/>
      <c r="M321" s="58"/>
      <c r="N321" s="58"/>
      <c r="O321" s="58"/>
    </row>
    <row r="322">
      <c r="A322" s="95"/>
      <c r="B322" s="95"/>
      <c r="C322" s="52"/>
      <c r="D322" s="52"/>
      <c r="E322" s="52"/>
      <c r="F322" s="58"/>
      <c r="G322" s="58"/>
      <c r="H322" s="58"/>
      <c r="I322" s="58"/>
      <c r="J322" s="58"/>
      <c r="K322" s="58"/>
      <c r="L322" s="58"/>
      <c r="M322" s="58"/>
      <c r="N322" s="58"/>
      <c r="O322" s="58"/>
    </row>
    <row r="323">
      <c r="A323" s="95"/>
      <c r="B323" s="95"/>
      <c r="C323" s="52"/>
      <c r="D323" s="52"/>
      <c r="E323" s="52"/>
      <c r="F323" s="58"/>
      <c r="G323" s="58"/>
      <c r="H323" s="58"/>
      <c r="I323" s="58"/>
      <c r="J323" s="58"/>
      <c r="K323" s="58"/>
      <c r="L323" s="58"/>
      <c r="M323" s="58"/>
      <c r="N323" s="58"/>
      <c r="O323" s="58"/>
    </row>
    <row r="324">
      <c r="A324" s="95"/>
      <c r="B324" s="95"/>
      <c r="C324" s="52"/>
      <c r="D324" s="52"/>
      <c r="E324" s="52"/>
      <c r="F324" s="58"/>
      <c r="G324" s="58"/>
      <c r="H324" s="58"/>
      <c r="I324" s="58"/>
      <c r="J324" s="58"/>
      <c r="K324" s="58"/>
      <c r="L324" s="58"/>
      <c r="M324" s="58"/>
      <c r="N324" s="58"/>
      <c r="O324" s="58"/>
    </row>
    <row r="325">
      <c r="A325" s="95"/>
      <c r="B325" s="95"/>
      <c r="C325" s="52"/>
      <c r="D325" s="52"/>
      <c r="E325" s="52"/>
      <c r="F325" s="58"/>
      <c r="G325" s="58"/>
      <c r="H325" s="58"/>
      <c r="I325" s="58"/>
      <c r="J325" s="58"/>
      <c r="K325" s="58"/>
      <c r="L325" s="58"/>
      <c r="M325" s="58"/>
      <c r="N325" s="58"/>
      <c r="O325" s="58"/>
    </row>
    <row r="326">
      <c r="A326" s="95"/>
      <c r="B326" s="95"/>
      <c r="C326" s="52"/>
      <c r="D326" s="52"/>
      <c r="E326" s="52"/>
      <c r="F326" s="58"/>
      <c r="G326" s="58"/>
      <c r="H326" s="58"/>
      <c r="I326" s="58"/>
      <c r="J326" s="58"/>
      <c r="K326" s="58"/>
      <c r="L326" s="58"/>
      <c r="M326" s="58"/>
      <c r="N326" s="58"/>
      <c r="O326" s="58"/>
    </row>
    <row r="327">
      <c r="A327" s="95"/>
      <c r="B327" s="95"/>
      <c r="C327" s="52"/>
      <c r="D327" s="52"/>
      <c r="E327" s="52"/>
      <c r="F327" s="58"/>
      <c r="G327" s="58"/>
      <c r="H327" s="58"/>
      <c r="I327" s="58"/>
      <c r="J327" s="58"/>
      <c r="K327" s="58"/>
      <c r="L327" s="58"/>
      <c r="M327" s="58"/>
      <c r="N327" s="58"/>
      <c r="O327" s="58"/>
    </row>
    <row r="328">
      <c r="A328" s="95"/>
      <c r="B328" s="95"/>
      <c r="C328" s="52"/>
      <c r="D328" s="52"/>
      <c r="E328" s="52"/>
      <c r="F328" s="58"/>
      <c r="G328" s="58"/>
      <c r="H328" s="58"/>
      <c r="I328" s="58"/>
      <c r="J328" s="58"/>
      <c r="K328" s="58"/>
      <c r="L328" s="58"/>
      <c r="M328" s="58"/>
      <c r="N328" s="58"/>
      <c r="O328" s="58"/>
    </row>
    <row r="329">
      <c r="A329" s="95"/>
      <c r="B329" s="95"/>
      <c r="C329" s="52"/>
      <c r="D329" s="52"/>
      <c r="E329" s="52"/>
      <c r="F329" s="58"/>
      <c r="G329" s="58"/>
      <c r="H329" s="58"/>
      <c r="I329" s="58"/>
      <c r="J329" s="58"/>
      <c r="K329" s="58"/>
      <c r="L329" s="58"/>
      <c r="M329" s="58"/>
      <c r="N329" s="58"/>
      <c r="O329" s="58"/>
    </row>
    <row r="330">
      <c r="A330" s="95"/>
      <c r="B330" s="95"/>
      <c r="C330" s="52"/>
      <c r="D330" s="52"/>
      <c r="E330" s="52"/>
      <c r="F330" s="58"/>
      <c r="G330" s="58"/>
      <c r="H330" s="58"/>
      <c r="I330" s="58"/>
      <c r="J330" s="58"/>
      <c r="K330" s="58"/>
      <c r="L330" s="58"/>
      <c r="M330" s="58"/>
      <c r="N330" s="58"/>
      <c r="O330" s="58"/>
    </row>
    <row r="331">
      <c r="A331" s="95"/>
      <c r="B331" s="95"/>
      <c r="C331" s="52"/>
      <c r="D331" s="52"/>
      <c r="E331" s="52"/>
      <c r="F331" s="58"/>
      <c r="G331" s="58"/>
      <c r="H331" s="58"/>
      <c r="I331" s="58"/>
      <c r="J331" s="58"/>
      <c r="K331" s="58"/>
      <c r="L331" s="58"/>
      <c r="M331" s="58"/>
      <c r="N331" s="58"/>
      <c r="O331" s="58"/>
    </row>
    <row r="332">
      <c r="A332" s="95"/>
      <c r="B332" s="95"/>
      <c r="C332" s="52"/>
      <c r="D332" s="52"/>
      <c r="E332" s="52"/>
      <c r="F332" s="58"/>
      <c r="G332" s="58"/>
      <c r="H332" s="58"/>
      <c r="I332" s="58"/>
      <c r="J332" s="58"/>
      <c r="K332" s="58"/>
      <c r="L332" s="58"/>
      <c r="M332" s="58"/>
      <c r="N332" s="58"/>
      <c r="O332" s="58"/>
    </row>
    <row r="333">
      <c r="A333" s="95"/>
      <c r="B333" s="95"/>
      <c r="C333" s="52"/>
      <c r="D333" s="52"/>
      <c r="E333" s="52"/>
      <c r="F333" s="58"/>
      <c r="G333" s="58"/>
      <c r="H333" s="58"/>
      <c r="I333" s="58"/>
      <c r="J333" s="58"/>
      <c r="K333" s="58"/>
      <c r="L333" s="58"/>
      <c r="M333" s="58"/>
      <c r="N333" s="58"/>
      <c r="O333" s="58"/>
    </row>
    <row r="334">
      <c r="A334" s="95"/>
      <c r="B334" s="95"/>
      <c r="C334" s="52"/>
      <c r="D334" s="52"/>
      <c r="E334" s="52"/>
      <c r="F334" s="58"/>
      <c r="G334" s="58"/>
      <c r="H334" s="58"/>
      <c r="I334" s="58"/>
      <c r="J334" s="58"/>
      <c r="K334" s="58"/>
      <c r="L334" s="58"/>
      <c r="M334" s="58"/>
      <c r="N334" s="58"/>
      <c r="O334" s="58"/>
    </row>
    <row r="335">
      <c r="A335" s="95"/>
      <c r="B335" s="95"/>
      <c r="C335" s="52"/>
      <c r="D335" s="52"/>
      <c r="E335" s="52"/>
      <c r="F335" s="58"/>
      <c r="G335" s="58"/>
      <c r="H335" s="58"/>
      <c r="I335" s="58"/>
      <c r="J335" s="58"/>
      <c r="K335" s="58"/>
      <c r="L335" s="58"/>
      <c r="M335" s="58"/>
      <c r="N335" s="58"/>
      <c r="O335" s="58"/>
    </row>
    <row r="336">
      <c r="A336" s="95"/>
      <c r="B336" s="95"/>
      <c r="C336" s="52"/>
      <c r="D336" s="52"/>
      <c r="E336" s="52"/>
      <c r="F336" s="58"/>
      <c r="G336" s="58"/>
      <c r="H336" s="58"/>
      <c r="I336" s="58"/>
      <c r="J336" s="58"/>
      <c r="K336" s="58"/>
      <c r="L336" s="58"/>
      <c r="M336" s="58"/>
      <c r="N336" s="58"/>
      <c r="O336" s="58"/>
    </row>
    <row r="337">
      <c r="A337" s="95"/>
      <c r="B337" s="95"/>
      <c r="C337" s="52"/>
      <c r="D337" s="52"/>
      <c r="E337" s="52"/>
      <c r="F337" s="58"/>
      <c r="G337" s="58"/>
      <c r="H337" s="58"/>
      <c r="I337" s="58"/>
      <c r="J337" s="58"/>
      <c r="K337" s="58"/>
      <c r="L337" s="58"/>
      <c r="M337" s="58"/>
      <c r="N337" s="58"/>
      <c r="O337" s="58"/>
    </row>
    <row r="338">
      <c r="A338" s="95"/>
      <c r="B338" s="95"/>
      <c r="C338" s="52"/>
      <c r="D338" s="52"/>
      <c r="E338" s="52"/>
      <c r="F338" s="58"/>
      <c r="G338" s="58"/>
      <c r="H338" s="58"/>
      <c r="I338" s="58"/>
      <c r="J338" s="58"/>
      <c r="K338" s="58"/>
      <c r="L338" s="58"/>
      <c r="M338" s="58"/>
      <c r="N338" s="58"/>
      <c r="O338" s="58"/>
    </row>
    <row r="339">
      <c r="A339" s="95"/>
      <c r="B339" s="95"/>
      <c r="C339" s="52"/>
      <c r="D339" s="52"/>
      <c r="E339" s="52"/>
      <c r="F339" s="58"/>
      <c r="G339" s="58"/>
      <c r="H339" s="58"/>
      <c r="I339" s="58"/>
      <c r="J339" s="58"/>
      <c r="K339" s="58"/>
      <c r="L339" s="58"/>
      <c r="M339" s="58"/>
      <c r="N339" s="58"/>
      <c r="O339" s="58"/>
    </row>
    <row r="340">
      <c r="A340" s="95"/>
      <c r="B340" s="95"/>
      <c r="C340" s="52"/>
      <c r="D340" s="52"/>
      <c r="E340" s="52"/>
      <c r="F340" s="58"/>
      <c r="G340" s="58"/>
      <c r="H340" s="58"/>
      <c r="I340" s="58"/>
      <c r="J340" s="58"/>
      <c r="K340" s="58"/>
      <c r="L340" s="58"/>
      <c r="M340" s="58"/>
      <c r="N340" s="58"/>
      <c r="O340" s="58"/>
    </row>
    <row r="341">
      <c r="A341" s="95"/>
      <c r="B341" s="95"/>
      <c r="C341" s="52"/>
      <c r="D341" s="52"/>
      <c r="E341" s="52"/>
      <c r="F341" s="58"/>
      <c r="G341" s="58"/>
      <c r="H341" s="58"/>
      <c r="I341" s="58"/>
      <c r="J341" s="58"/>
      <c r="K341" s="58"/>
      <c r="L341" s="58"/>
      <c r="M341" s="58"/>
      <c r="N341" s="58"/>
      <c r="O341" s="58"/>
    </row>
    <row r="342">
      <c r="A342" s="95"/>
      <c r="B342" s="95"/>
      <c r="C342" s="52"/>
      <c r="D342" s="52"/>
      <c r="E342" s="52"/>
      <c r="F342" s="58"/>
      <c r="G342" s="58"/>
      <c r="H342" s="58"/>
      <c r="I342" s="58"/>
      <c r="J342" s="58"/>
      <c r="K342" s="58"/>
      <c r="L342" s="58"/>
      <c r="M342" s="58"/>
      <c r="N342" s="58"/>
      <c r="O342" s="58"/>
    </row>
    <row r="343">
      <c r="A343" s="95"/>
      <c r="B343" s="95"/>
      <c r="C343" s="52"/>
      <c r="D343" s="52"/>
      <c r="E343" s="52"/>
      <c r="F343" s="58"/>
      <c r="G343" s="58"/>
      <c r="H343" s="58"/>
      <c r="I343" s="58"/>
      <c r="J343" s="58"/>
      <c r="K343" s="58"/>
      <c r="L343" s="58"/>
      <c r="M343" s="58"/>
      <c r="N343" s="58"/>
      <c r="O343" s="58"/>
    </row>
    <row r="344">
      <c r="A344" s="95"/>
      <c r="B344" s="95"/>
      <c r="C344" s="52"/>
      <c r="D344" s="52"/>
      <c r="E344" s="52"/>
      <c r="F344" s="58"/>
      <c r="G344" s="58"/>
      <c r="H344" s="58"/>
      <c r="I344" s="58"/>
      <c r="J344" s="58"/>
      <c r="K344" s="58"/>
      <c r="L344" s="58"/>
      <c r="M344" s="58"/>
      <c r="N344" s="58"/>
      <c r="O344" s="58"/>
    </row>
    <row r="345">
      <c r="A345" s="95"/>
      <c r="B345" s="95"/>
      <c r="C345" s="52"/>
      <c r="D345" s="52"/>
      <c r="E345" s="52"/>
      <c r="F345" s="58"/>
      <c r="G345" s="58"/>
      <c r="H345" s="58"/>
      <c r="I345" s="58"/>
      <c r="J345" s="58"/>
      <c r="K345" s="58"/>
      <c r="L345" s="58"/>
      <c r="M345" s="58"/>
      <c r="N345" s="58"/>
      <c r="O345" s="58"/>
    </row>
    <row r="346">
      <c r="A346" s="95"/>
      <c r="B346" s="95"/>
      <c r="C346" s="52"/>
      <c r="D346" s="52"/>
      <c r="E346" s="52"/>
      <c r="F346" s="58"/>
      <c r="G346" s="58"/>
      <c r="H346" s="58"/>
      <c r="I346" s="58"/>
      <c r="J346" s="58"/>
      <c r="K346" s="58"/>
      <c r="L346" s="58"/>
      <c r="M346" s="58"/>
      <c r="N346" s="58"/>
      <c r="O346" s="58"/>
    </row>
    <row r="347">
      <c r="A347" s="95"/>
      <c r="B347" s="95"/>
      <c r="C347" s="52"/>
      <c r="D347" s="52"/>
      <c r="E347" s="52"/>
      <c r="F347" s="58"/>
      <c r="G347" s="58"/>
      <c r="H347" s="58"/>
      <c r="I347" s="58"/>
      <c r="J347" s="58"/>
      <c r="K347" s="58"/>
      <c r="L347" s="58"/>
      <c r="M347" s="58"/>
      <c r="N347" s="58"/>
      <c r="O347" s="58"/>
    </row>
    <row r="348">
      <c r="A348" s="95"/>
      <c r="B348" s="95"/>
      <c r="C348" s="52"/>
      <c r="D348" s="52"/>
      <c r="E348" s="52"/>
      <c r="F348" s="58"/>
      <c r="G348" s="58"/>
      <c r="H348" s="58"/>
      <c r="I348" s="58"/>
      <c r="J348" s="58"/>
      <c r="K348" s="58"/>
      <c r="L348" s="58"/>
      <c r="M348" s="58"/>
      <c r="N348" s="58"/>
      <c r="O348" s="58"/>
    </row>
    <row r="349">
      <c r="A349" s="95"/>
      <c r="B349" s="95"/>
      <c r="C349" s="52"/>
      <c r="D349" s="52"/>
      <c r="E349" s="52"/>
      <c r="F349" s="58"/>
      <c r="G349" s="58"/>
      <c r="H349" s="58"/>
      <c r="I349" s="58"/>
      <c r="J349" s="58"/>
      <c r="K349" s="58"/>
      <c r="L349" s="58"/>
      <c r="M349" s="58"/>
      <c r="N349" s="58"/>
      <c r="O349" s="58"/>
    </row>
    <row r="350">
      <c r="A350" s="95"/>
      <c r="B350" s="95"/>
      <c r="C350" s="52"/>
      <c r="D350" s="52"/>
      <c r="E350" s="52"/>
      <c r="F350" s="58"/>
      <c r="G350" s="58"/>
      <c r="H350" s="58"/>
      <c r="I350" s="58"/>
      <c r="J350" s="58"/>
      <c r="K350" s="58"/>
      <c r="L350" s="58"/>
      <c r="M350" s="58"/>
      <c r="N350" s="58"/>
      <c r="O350" s="58"/>
    </row>
    <row r="351">
      <c r="A351" s="95"/>
      <c r="B351" s="95"/>
      <c r="C351" s="52"/>
      <c r="D351" s="52"/>
      <c r="E351" s="52"/>
      <c r="F351" s="58"/>
      <c r="G351" s="58"/>
      <c r="H351" s="58"/>
      <c r="I351" s="58"/>
      <c r="J351" s="58"/>
      <c r="K351" s="58"/>
      <c r="L351" s="58"/>
      <c r="M351" s="58"/>
      <c r="N351" s="58"/>
      <c r="O351" s="58"/>
    </row>
    <row r="352">
      <c r="A352" s="95"/>
      <c r="B352" s="95"/>
      <c r="C352" s="52"/>
      <c r="D352" s="52"/>
      <c r="E352" s="52"/>
      <c r="F352" s="58"/>
      <c r="G352" s="58"/>
      <c r="H352" s="58"/>
      <c r="I352" s="58"/>
      <c r="J352" s="58"/>
      <c r="K352" s="58"/>
      <c r="L352" s="58"/>
      <c r="M352" s="58"/>
      <c r="N352" s="58"/>
      <c r="O352" s="58"/>
    </row>
    <row r="353">
      <c r="A353" s="95"/>
      <c r="B353" s="95"/>
      <c r="C353" s="52"/>
      <c r="D353" s="52"/>
      <c r="E353" s="52"/>
      <c r="F353" s="58"/>
      <c r="G353" s="58"/>
      <c r="H353" s="58"/>
      <c r="I353" s="58"/>
      <c r="J353" s="58"/>
      <c r="K353" s="58"/>
      <c r="L353" s="58"/>
      <c r="M353" s="58"/>
      <c r="N353" s="58"/>
      <c r="O353" s="58"/>
    </row>
    <row r="354">
      <c r="A354" s="95"/>
      <c r="B354" s="95"/>
      <c r="C354" s="52"/>
      <c r="D354" s="52"/>
      <c r="E354" s="52"/>
      <c r="F354" s="58"/>
      <c r="G354" s="58"/>
      <c r="H354" s="58"/>
      <c r="I354" s="58"/>
      <c r="J354" s="58"/>
      <c r="K354" s="58"/>
      <c r="L354" s="58"/>
      <c r="M354" s="58"/>
      <c r="N354" s="58"/>
      <c r="O354" s="58"/>
    </row>
    <row r="355">
      <c r="A355" s="95"/>
      <c r="B355" s="95"/>
      <c r="C355" s="52"/>
      <c r="D355" s="52"/>
      <c r="E355" s="52"/>
      <c r="F355" s="58"/>
      <c r="G355" s="58"/>
      <c r="H355" s="58"/>
      <c r="I355" s="58"/>
      <c r="J355" s="58"/>
      <c r="K355" s="58"/>
      <c r="L355" s="58"/>
      <c r="M355" s="58"/>
      <c r="N355" s="58"/>
      <c r="O355" s="58"/>
    </row>
    <row r="356">
      <c r="A356" s="95"/>
      <c r="B356" s="95"/>
      <c r="C356" s="52"/>
      <c r="D356" s="52"/>
      <c r="E356" s="52"/>
      <c r="F356" s="58"/>
      <c r="G356" s="58"/>
      <c r="H356" s="58"/>
      <c r="I356" s="58"/>
      <c r="J356" s="58"/>
      <c r="K356" s="58"/>
      <c r="L356" s="58"/>
      <c r="M356" s="58"/>
      <c r="N356" s="58"/>
      <c r="O356" s="58"/>
    </row>
    <row r="357">
      <c r="A357" s="95"/>
      <c r="B357" s="95"/>
      <c r="C357" s="52"/>
      <c r="D357" s="52"/>
      <c r="E357" s="52"/>
      <c r="F357" s="58"/>
      <c r="G357" s="58"/>
      <c r="H357" s="58"/>
      <c r="I357" s="58"/>
      <c r="J357" s="58"/>
      <c r="K357" s="58"/>
      <c r="L357" s="58"/>
      <c r="M357" s="58"/>
      <c r="N357" s="58"/>
      <c r="O357" s="58"/>
    </row>
    <row r="358">
      <c r="A358" s="95"/>
      <c r="B358" s="95"/>
      <c r="C358" s="52"/>
      <c r="D358" s="52"/>
      <c r="E358" s="52"/>
      <c r="F358" s="58"/>
      <c r="G358" s="58"/>
      <c r="H358" s="58"/>
      <c r="I358" s="58"/>
      <c r="J358" s="58"/>
      <c r="K358" s="58"/>
      <c r="L358" s="58"/>
      <c r="M358" s="58"/>
      <c r="N358" s="58"/>
      <c r="O358" s="58"/>
    </row>
    <row r="359">
      <c r="A359" s="95"/>
      <c r="B359" s="95"/>
      <c r="C359" s="52"/>
      <c r="D359" s="52"/>
      <c r="E359" s="52"/>
      <c r="F359" s="58"/>
      <c r="G359" s="58"/>
      <c r="H359" s="58"/>
      <c r="I359" s="58"/>
      <c r="J359" s="58"/>
      <c r="K359" s="58"/>
      <c r="L359" s="58"/>
      <c r="M359" s="58"/>
      <c r="N359" s="58"/>
      <c r="O359" s="58"/>
    </row>
    <row r="360">
      <c r="A360" s="95"/>
      <c r="B360" s="95"/>
      <c r="C360" s="52"/>
      <c r="D360" s="52"/>
      <c r="E360" s="52"/>
      <c r="F360" s="58"/>
      <c r="G360" s="58"/>
      <c r="H360" s="58"/>
      <c r="I360" s="58"/>
      <c r="J360" s="58"/>
      <c r="K360" s="58"/>
      <c r="L360" s="58"/>
      <c r="M360" s="58"/>
      <c r="N360" s="58"/>
      <c r="O360" s="58"/>
    </row>
    <row r="361">
      <c r="A361" s="95"/>
      <c r="B361" s="95"/>
      <c r="C361" s="52"/>
      <c r="D361" s="52"/>
      <c r="E361" s="52"/>
      <c r="F361" s="58"/>
      <c r="G361" s="58"/>
      <c r="H361" s="58"/>
      <c r="I361" s="58"/>
      <c r="J361" s="58"/>
      <c r="K361" s="58"/>
      <c r="L361" s="58"/>
      <c r="M361" s="58"/>
      <c r="N361" s="58"/>
      <c r="O361" s="58"/>
    </row>
    <row r="362">
      <c r="A362" s="95"/>
      <c r="B362" s="95"/>
      <c r="C362" s="52"/>
      <c r="D362" s="52"/>
      <c r="E362" s="52"/>
      <c r="F362" s="58"/>
      <c r="G362" s="58"/>
      <c r="H362" s="58"/>
      <c r="I362" s="58"/>
      <c r="J362" s="58"/>
      <c r="K362" s="58"/>
      <c r="L362" s="58"/>
      <c r="M362" s="58"/>
      <c r="N362" s="58"/>
      <c r="O362" s="58"/>
    </row>
    <row r="363">
      <c r="A363" s="95"/>
      <c r="B363" s="95"/>
      <c r="C363" s="52"/>
      <c r="D363" s="52"/>
      <c r="E363" s="52"/>
      <c r="F363" s="58"/>
      <c r="G363" s="58"/>
      <c r="H363" s="58"/>
      <c r="I363" s="58"/>
      <c r="J363" s="58"/>
      <c r="K363" s="58"/>
      <c r="L363" s="58"/>
      <c r="M363" s="58"/>
      <c r="N363" s="58"/>
      <c r="O363" s="58"/>
    </row>
    <row r="364">
      <c r="A364" s="95"/>
      <c r="B364" s="95"/>
      <c r="C364" s="52"/>
      <c r="D364" s="52"/>
      <c r="E364" s="52"/>
      <c r="F364" s="58"/>
      <c r="G364" s="58"/>
      <c r="H364" s="58"/>
      <c r="I364" s="58"/>
      <c r="J364" s="58"/>
      <c r="K364" s="58"/>
      <c r="L364" s="58"/>
      <c r="M364" s="58"/>
      <c r="N364" s="58"/>
      <c r="O364" s="58"/>
    </row>
    <row r="365">
      <c r="A365" s="95"/>
      <c r="B365" s="95"/>
      <c r="C365" s="52"/>
      <c r="D365" s="52"/>
      <c r="E365" s="52"/>
      <c r="F365" s="58"/>
      <c r="G365" s="58"/>
      <c r="H365" s="58"/>
      <c r="I365" s="58"/>
      <c r="J365" s="58"/>
      <c r="K365" s="58"/>
      <c r="L365" s="58"/>
      <c r="M365" s="58"/>
      <c r="N365" s="58"/>
      <c r="O365" s="58"/>
    </row>
    <row r="366">
      <c r="A366" s="95"/>
      <c r="B366" s="95"/>
      <c r="C366" s="52"/>
      <c r="D366" s="52"/>
      <c r="E366" s="52"/>
      <c r="F366" s="58"/>
      <c r="G366" s="58"/>
      <c r="H366" s="58"/>
      <c r="I366" s="58"/>
      <c r="J366" s="58"/>
      <c r="K366" s="58"/>
      <c r="L366" s="58"/>
      <c r="M366" s="58"/>
      <c r="N366" s="58"/>
      <c r="O366" s="58"/>
    </row>
    <row r="367">
      <c r="A367" s="95"/>
      <c r="B367" s="95"/>
      <c r="C367" s="52"/>
      <c r="D367" s="52"/>
      <c r="E367" s="52"/>
      <c r="F367" s="58"/>
      <c r="G367" s="58"/>
      <c r="H367" s="58"/>
      <c r="I367" s="58"/>
      <c r="J367" s="58"/>
      <c r="K367" s="58"/>
      <c r="L367" s="58"/>
      <c r="M367" s="58"/>
      <c r="N367" s="58"/>
      <c r="O367" s="58"/>
    </row>
    <row r="368">
      <c r="A368" s="95"/>
      <c r="B368" s="95"/>
      <c r="C368" s="52"/>
      <c r="D368" s="52"/>
      <c r="E368" s="52"/>
      <c r="F368" s="58"/>
      <c r="G368" s="58"/>
      <c r="H368" s="58"/>
      <c r="I368" s="58"/>
      <c r="J368" s="58"/>
      <c r="K368" s="58"/>
      <c r="L368" s="58"/>
      <c r="M368" s="58"/>
      <c r="N368" s="58"/>
      <c r="O368" s="58"/>
    </row>
    <row r="369">
      <c r="A369" s="95"/>
      <c r="B369" s="95"/>
      <c r="C369" s="52"/>
      <c r="D369" s="52"/>
      <c r="E369" s="52"/>
      <c r="F369" s="58"/>
      <c r="G369" s="58"/>
      <c r="H369" s="58"/>
      <c r="I369" s="58"/>
      <c r="J369" s="58"/>
      <c r="K369" s="58"/>
      <c r="L369" s="58"/>
      <c r="M369" s="58"/>
      <c r="N369" s="58"/>
      <c r="O369" s="58"/>
    </row>
    <row r="370">
      <c r="A370" s="95"/>
      <c r="B370" s="95"/>
      <c r="C370" s="52"/>
      <c r="D370" s="52"/>
      <c r="E370" s="52"/>
      <c r="F370" s="58"/>
      <c r="G370" s="58"/>
      <c r="H370" s="58"/>
      <c r="I370" s="58"/>
      <c r="J370" s="58"/>
      <c r="K370" s="58"/>
      <c r="L370" s="58"/>
      <c r="M370" s="58"/>
      <c r="N370" s="58"/>
      <c r="O370" s="58"/>
    </row>
    <row r="371">
      <c r="A371" s="95"/>
      <c r="B371" s="95"/>
      <c r="C371" s="52"/>
      <c r="D371" s="52"/>
      <c r="E371" s="52"/>
      <c r="F371" s="58"/>
      <c r="G371" s="58"/>
      <c r="H371" s="58"/>
      <c r="I371" s="58"/>
      <c r="J371" s="58"/>
      <c r="K371" s="58"/>
      <c r="L371" s="58"/>
      <c r="M371" s="58"/>
      <c r="N371" s="58"/>
      <c r="O371" s="58"/>
    </row>
    <row r="372">
      <c r="A372" s="95"/>
      <c r="B372" s="95"/>
      <c r="C372" s="52"/>
      <c r="D372" s="52"/>
      <c r="E372" s="52"/>
      <c r="F372" s="58"/>
      <c r="G372" s="58"/>
      <c r="H372" s="58"/>
      <c r="I372" s="58"/>
      <c r="J372" s="58"/>
      <c r="K372" s="58"/>
      <c r="L372" s="58"/>
      <c r="M372" s="58"/>
      <c r="N372" s="58"/>
      <c r="O372" s="58"/>
    </row>
    <row r="373">
      <c r="A373" s="95"/>
      <c r="B373" s="95"/>
      <c r="C373" s="52"/>
      <c r="D373" s="52"/>
      <c r="E373" s="52"/>
      <c r="F373" s="58"/>
      <c r="G373" s="58"/>
      <c r="H373" s="58"/>
      <c r="I373" s="58"/>
      <c r="J373" s="58"/>
      <c r="K373" s="58"/>
      <c r="L373" s="58"/>
      <c r="M373" s="58"/>
      <c r="N373" s="58"/>
      <c r="O373" s="58"/>
    </row>
    <row r="374">
      <c r="A374" s="95"/>
      <c r="B374" s="95"/>
      <c r="C374" s="52"/>
      <c r="D374" s="52"/>
      <c r="E374" s="52"/>
      <c r="F374" s="58"/>
      <c r="G374" s="58"/>
      <c r="H374" s="58"/>
      <c r="I374" s="58"/>
      <c r="J374" s="58"/>
      <c r="K374" s="58"/>
      <c r="L374" s="58"/>
      <c r="M374" s="58"/>
      <c r="N374" s="58"/>
      <c r="O374" s="58"/>
    </row>
    <row r="375">
      <c r="A375" s="95"/>
      <c r="B375" s="95"/>
      <c r="C375" s="52"/>
      <c r="D375" s="52"/>
      <c r="E375" s="52"/>
      <c r="F375" s="58"/>
      <c r="G375" s="58"/>
      <c r="H375" s="58"/>
      <c r="I375" s="58"/>
      <c r="J375" s="58"/>
      <c r="K375" s="58"/>
      <c r="L375" s="58"/>
      <c r="M375" s="58"/>
      <c r="N375" s="58"/>
      <c r="O375" s="58"/>
    </row>
    <row r="376">
      <c r="A376" s="95"/>
      <c r="B376" s="95"/>
      <c r="C376" s="52"/>
      <c r="D376" s="52"/>
      <c r="E376" s="52"/>
      <c r="F376" s="58"/>
      <c r="G376" s="58"/>
      <c r="H376" s="58"/>
      <c r="I376" s="58"/>
      <c r="J376" s="58"/>
      <c r="K376" s="58"/>
      <c r="L376" s="58"/>
      <c r="M376" s="58"/>
      <c r="N376" s="58"/>
      <c r="O376" s="58"/>
    </row>
    <row r="377">
      <c r="A377" s="95"/>
      <c r="B377" s="95"/>
      <c r="C377" s="52"/>
      <c r="D377" s="52"/>
      <c r="E377" s="52"/>
      <c r="F377" s="58"/>
      <c r="G377" s="58"/>
      <c r="H377" s="58"/>
      <c r="I377" s="58"/>
      <c r="J377" s="58"/>
      <c r="K377" s="58"/>
      <c r="L377" s="58"/>
      <c r="M377" s="58"/>
      <c r="N377" s="58"/>
      <c r="O377" s="58"/>
    </row>
    <row r="378">
      <c r="A378" s="95"/>
      <c r="B378" s="95"/>
      <c r="C378" s="52"/>
      <c r="D378" s="52"/>
      <c r="E378" s="52"/>
      <c r="F378" s="58"/>
      <c r="G378" s="58"/>
      <c r="H378" s="58"/>
      <c r="I378" s="58"/>
      <c r="J378" s="58"/>
      <c r="K378" s="58"/>
      <c r="L378" s="58"/>
      <c r="M378" s="58"/>
      <c r="N378" s="58"/>
      <c r="O378" s="58"/>
    </row>
    <row r="379">
      <c r="A379" s="95"/>
      <c r="B379" s="95"/>
      <c r="C379" s="52"/>
      <c r="D379" s="52"/>
      <c r="E379" s="52"/>
      <c r="F379" s="58"/>
      <c r="G379" s="58"/>
      <c r="H379" s="58"/>
      <c r="I379" s="58"/>
      <c r="J379" s="58"/>
      <c r="K379" s="58"/>
      <c r="L379" s="58"/>
      <c r="M379" s="58"/>
      <c r="N379" s="58"/>
      <c r="O379" s="58"/>
    </row>
    <row r="380">
      <c r="A380" s="95"/>
      <c r="B380" s="95"/>
      <c r="C380" s="52"/>
      <c r="D380" s="52"/>
      <c r="E380" s="52"/>
      <c r="F380" s="58"/>
      <c r="G380" s="58"/>
      <c r="H380" s="58"/>
      <c r="I380" s="58"/>
      <c r="J380" s="58"/>
      <c r="K380" s="58"/>
      <c r="L380" s="58"/>
      <c r="M380" s="58"/>
      <c r="N380" s="58"/>
      <c r="O380" s="58"/>
    </row>
    <row r="381">
      <c r="A381" s="95"/>
      <c r="B381" s="95"/>
      <c r="C381" s="52"/>
      <c r="D381" s="52"/>
      <c r="E381" s="52"/>
      <c r="F381" s="58"/>
      <c r="G381" s="58"/>
      <c r="H381" s="58"/>
      <c r="I381" s="58"/>
      <c r="J381" s="58"/>
      <c r="K381" s="58"/>
      <c r="L381" s="58"/>
      <c r="M381" s="58"/>
      <c r="N381" s="58"/>
      <c r="O381" s="58"/>
    </row>
    <row r="382">
      <c r="A382" s="95"/>
      <c r="B382" s="95"/>
      <c r="C382" s="52"/>
      <c r="D382" s="52"/>
      <c r="E382" s="52"/>
      <c r="F382" s="58"/>
      <c r="G382" s="58"/>
      <c r="H382" s="58"/>
      <c r="I382" s="58"/>
      <c r="J382" s="58"/>
      <c r="K382" s="58"/>
      <c r="L382" s="58"/>
      <c r="M382" s="58"/>
      <c r="N382" s="58"/>
      <c r="O382" s="58"/>
    </row>
    <row r="383">
      <c r="A383" s="95"/>
      <c r="B383" s="95"/>
      <c r="C383" s="52"/>
      <c r="D383" s="52"/>
      <c r="E383" s="52"/>
      <c r="F383" s="58"/>
      <c r="G383" s="58"/>
      <c r="H383" s="58"/>
      <c r="I383" s="58"/>
      <c r="J383" s="58"/>
      <c r="K383" s="58"/>
      <c r="L383" s="58"/>
      <c r="M383" s="58"/>
      <c r="N383" s="58"/>
      <c r="O383" s="58"/>
    </row>
    <row r="384">
      <c r="A384" s="95"/>
      <c r="B384" s="95"/>
      <c r="C384" s="52"/>
      <c r="D384" s="52"/>
      <c r="E384" s="52"/>
      <c r="F384" s="58"/>
      <c r="G384" s="58"/>
      <c r="H384" s="58"/>
      <c r="I384" s="58"/>
      <c r="J384" s="58"/>
      <c r="K384" s="58"/>
      <c r="L384" s="58"/>
      <c r="M384" s="58"/>
      <c r="N384" s="58"/>
      <c r="O384" s="58"/>
    </row>
    <row r="385">
      <c r="A385" s="95"/>
      <c r="B385" s="95"/>
      <c r="C385" s="52"/>
      <c r="D385" s="52"/>
      <c r="E385" s="52"/>
      <c r="F385" s="58"/>
      <c r="G385" s="58"/>
      <c r="H385" s="58"/>
      <c r="I385" s="58"/>
      <c r="J385" s="58"/>
      <c r="K385" s="58"/>
      <c r="L385" s="58"/>
      <c r="M385" s="58"/>
      <c r="N385" s="58"/>
      <c r="O385" s="58"/>
    </row>
    <row r="386">
      <c r="A386" s="95"/>
      <c r="B386" s="95"/>
      <c r="C386" s="52"/>
      <c r="D386" s="52"/>
      <c r="E386" s="52"/>
      <c r="F386" s="58"/>
      <c r="G386" s="58"/>
      <c r="H386" s="58"/>
      <c r="I386" s="58"/>
      <c r="J386" s="58"/>
      <c r="K386" s="58"/>
      <c r="L386" s="58"/>
      <c r="M386" s="58"/>
      <c r="N386" s="58"/>
      <c r="O386" s="58"/>
    </row>
    <row r="387">
      <c r="A387" s="95"/>
      <c r="B387" s="95"/>
      <c r="C387" s="52"/>
      <c r="D387" s="52"/>
      <c r="E387" s="52"/>
      <c r="F387" s="58"/>
      <c r="G387" s="58"/>
      <c r="H387" s="58"/>
      <c r="I387" s="58"/>
      <c r="J387" s="58"/>
      <c r="K387" s="58"/>
      <c r="L387" s="58"/>
      <c r="M387" s="58"/>
      <c r="N387" s="58"/>
      <c r="O387" s="58"/>
    </row>
    <row r="388">
      <c r="A388" s="95"/>
      <c r="B388" s="95"/>
      <c r="C388" s="52"/>
      <c r="D388" s="52"/>
      <c r="E388" s="52"/>
      <c r="F388" s="58"/>
      <c r="G388" s="58"/>
      <c r="H388" s="58"/>
      <c r="I388" s="58"/>
      <c r="J388" s="58"/>
      <c r="K388" s="58"/>
      <c r="L388" s="58"/>
      <c r="M388" s="58"/>
      <c r="N388" s="58"/>
      <c r="O388" s="58"/>
    </row>
    <row r="389">
      <c r="A389" s="95"/>
      <c r="B389" s="95"/>
      <c r="C389" s="52"/>
      <c r="D389" s="52"/>
      <c r="E389" s="52"/>
      <c r="F389" s="58"/>
      <c r="G389" s="58"/>
      <c r="H389" s="58"/>
      <c r="I389" s="58"/>
      <c r="J389" s="58"/>
      <c r="K389" s="58"/>
      <c r="L389" s="58"/>
      <c r="M389" s="58"/>
      <c r="N389" s="58"/>
      <c r="O389" s="58"/>
    </row>
    <row r="390">
      <c r="A390" s="95"/>
      <c r="B390" s="95"/>
      <c r="C390" s="52"/>
      <c r="D390" s="52"/>
      <c r="E390" s="52"/>
      <c r="F390" s="58"/>
      <c r="G390" s="58"/>
      <c r="H390" s="58"/>
      <c r="I390" s="58"/>
      <c r="J390" s="58"/>
      <c r="K390" s="58"/>
      <c r="L390" s="58"/>
      <c r="M390" s="58"/>
      <c r="N390" s="58"/>
      <c r="O390" s="58"/>
    </row>
    <row r="391">
      <c r="A391" s="95"/>
      <c r="B391" s="95"/>
      <c r="C391" s="52"/>
      <c r="D391" s="52"/>
      <c r="E391" s="52"/>
      <c r="F391" s="58"/>
      <c r="G391" s="58"/>
      <c r="H391" s="58"/>
      <c r="I391" s="58"/>
      <c r="J391" s="58"/>
      <c r="K391" s="58"/>
      <c r="L391" s="58"/>
      <c r="M391" s="58"/>
      <c r="N391" s="58"/>
      <c r="O391" s="58"/>
    </row>
    <row r="392">
      <c r="A392" s="95"/>
      <c r="B392" s="95"/>
      <c r="C392" s="52"/>
      <c r="D392" s="52"/>
      <c r="E392" s="52"/>
      <c r="F392" s="58"/>
      <c r="G392" s="58"/>
      <c r="H392" s="58"/>
      <c r="I392" s="58"/>
      <c r="J392" s="58"/>
      <c r="K392" s="58"/>
      <c r="L392" s="58"/>
      <c r="M392" s="58"/>
      <c r="N392" s="58"/>
      <c r="O392" s="58"/>
    </row>
    <row r="393">
      <c r="A393" s="95"/>
      <c r="B393" s="95"/>
      <c r="C393" s="52"/>
      <c r="D393" s="52"/>
      <c r="E393" s="52"/>
      <c r="F393" s="58"/>
      <c r="G393" s="58"/>
      <c r="H393" s="58"/>
      <c r="I393" s="58"/>
      <c r="J393" s="58"/>
      <c r="K393" s="58"/>
      <c r="L393" s="58"/>
      <c r="M393" s="58"/>
      <c r="N393" s="58"/>
      <c r="O393" s="58"/>
    </row>
    <row r="394">
      <c r="A394" s="95"/>
      <c r="B394" s="95"/>
      <c r="C394" s="52"/>
      <c r="D394" s="52"/>
      <c r="E394" s="52"/>
      <c r="F394" s="58"/>
      <c r="G394" s="58"/>
      <c r="H394" s="58"/>
      <c r="I394" s="58"/>
      <c r="J394" s="58"/>
      <c r="K394" s="58"/>
      <c r="L394" s="58"/>
      <c r="M394" s="58"/>
      <c r="N394" s="58"/>
      <c r="O394" s="58"/>
    </row>
    <row r="395">
      <c r="A395" s="95"/>
      <c r="B395" s="95"/>
      <c r="C395" s="52"/>
      <c r="D395" s="52"/>
      <c r="E395" s="52"/>
      <c r="F395" s="58"/>
      <c r="G395" s="58"/>
      <c r="H395" s="58"/>
      <c r="I395" s="58"/>
      <c r="J395" s="58"/>
      <c r="K395" s="58"/>
      <c r="L395" s="58"/>
      <c r="M395" s="58"/>
      <c r="N395" s="58"/>
      <c r="O395" s="58"/>
    </row>
    <row r="396">
      <c r="A396" s="95"/>
      <c r="B396" s="95"/>
      <c r="C396" s="52"/>
      <c r="D396" s="52"/>
      <c r="E396" s="52"/>
      <c r="F396" s="58"/>
      <c r="G396" s="58"/>
      <c r="H396" s="58"/>
      <c r="I396" s="58"/>
      <c r="J396" s="58"/>
      <c r="K396" s="58"/>
      <c r="L396" s="58"/>
      <c r="M396" s="58"/>
      <c r="N396" s="58"/>
      <c r="O396" s="58"/>
    </row>
    <row r="397">
      <c r="A397" s="95"/>
      <c r="B397" s="95"/>
      <c r="C397" s="52"/>
      <c r="D397" s="52"/>
      <c r="E397" s="52"/>
      <c r="F397" s="58"/>
      <c r="G397" s="58"/>
      <c r="H397" s="58"/>
      <c r="I397" s="58"/>
      <c r="J397" s="58"/>
      <c r="K397" s="58"/>
      <c r="L397" s="58"/>
      <c r="M397" s="58"/>
      <c r="N397" s="58"/>
      <c r="O397" s="58"/>
    </row>
    <row r="398">
      <c r="A398" s="95"/>
      <c r="B398" s="95"/>
      <c r="C398" s="52"/>
      <c r="D398" s="52"/>
      <c r="E398" s="52"/>
      <c r="F398" s="58"/>
      <c r="G398" s="58"/>
      <c r="H398" s="58"/>
      <c r="I398" s="58"/>
      <c r="J398" s="58"/>
      <c r="K398" s="58"/>
      <c r="L398" s="58"/>
      <c r="M398" s="58"/>
      <c r="N398" s="58"/>
      <c r="O398" s="58"/>
    </row>
    <row r="399">
      <c r="A399" s="95"/>
      <c r="B399" s="95"/>
      <c r="C399" s="52"/>
      <c r="D399" s="52"/>
      <c r="E399" s="52"/>
      <c r="F399" s="58"/>
      <c r="G399" s="58"/>
      <c r="H399" s="58"/>
      <c r="I399" s="58"/>
      <c r="J399" s="58"/>
      <c r="K399" s="58"/>
      <c r="L399" s="58"/>
      <c r="M399" s="58"/>
      <c r="N399" s="58"/>
      <c r="O399" s="58"/>
    </row>
    <row r="400">
      <c r="A400" s="95"/>
      <c r="B400" s="95"/>
      <c r="C400" s="52"/>
      <c r="D400" s="52"/>
      <c r="E400" s="52"/>
      <c r="F400" s="58"/>
      <c r="G400" s="58"/>
      <c r="H400" s="58"/>
      <c r="I400" s="58"/>
      <c r="J400" s="58"/>
      <c r="K400" s="58"/>
      <c r="L400" s="58"/>
      <c r="M400" s="58"/>
      <c r="N400" s="58"/>
      <c r="O400" s="58"/>
    </row>
    <row r="401">
      <c r="A401" s="95"/>
      <c r="B401" s="95"/>
      <c r="C401" s="52"/>
      <c r="D401" s="52"/>
      <c r="E401" s="52"/>
      <c r="F401" s="58"/>
      <c r="G401" s="58"/>
      <c r="H401" s="58"/>
      <c r="I401" s="58"/>
      <c r="J401" s="58"/>
      <c r="K401" s="58"/>
      <c r="L401" s="58"/>
      <c r="M401" s="58"/>
      <c r="N401" s="58"/>
      <c r="O401" s="58"/>
    </row>
    <row r="402">
      <c r="A402" s="95"/>
      <c r="B402" s="95"/>
      <c r="C402" s="52"/>
      <c r="D402" s="52"/>
      <c r="E402" s="52"/>
      <c r="F402" s="58"/>
      <c r="G402" s="58"/>
      <c r="H402" s="58"/>
      <c r="I402" s="58"/>
      <c r="J402" s="58"/>
      <c r="K402" s="58"/>
      <c r="L402" s="58"/>
      <c r="M402" s="58"/>
      <c r="N402" s="58"/>
      <c r="O402" s="58"/>
    </row>
    <row r="403">
      <c r="A403" s="95"/>
      <c r="B403" s="95"/>
      <c r="C403" s="52"/>
      <c r="D403" s="52"/>
      <c r="E403" s="52"/>
      <c r="F403" s="58"/>
      <c r="G403" s="58"/>
      <c r="H403" s="58"/>
      <c r="I403" s="58"/>
      <c r="J403" s="58"/>
      <c r="K403" s="58"/>
      <c r="L403" s="58"/>
      <c r="M403" s="58"/>
      <c r="N403" s="58"/>
      <c r="O403" s="58"/>
    </row>
    <row r="404">
      <c r="A404" s="95"/>
      <c r="B404" s="95"/>
      <c r="C404" s="52"/>
      <c r="D404" s="52"/>
      <c r="E404" s="52"/>
      <c r="F404" s="58"/>
      <c r="G404" s="58"/>
      <c r="H404" s="58"/>
      <c r="I404" s="58"/>
      <c r="J404" s="58"/>
      <c r="K404" s="58"/>
      <c r="L404" s="58"/>
      <c r="M404" s="58"/>
      <c r="N404" s="58"/>
      <c r="O404" s="58"/>
    </row>
    <row r="405">
      <c r="A405" s="95"/>
      <c r="B405" s="95"/>
      <c r="C405" s="52"/>
      <c r="D405" s="52"/>
      <c r="E405" s="52"/>
      <c r="F405" s="58"/>
      <c r="G405" s="58"/>
      <c r="H405" s="58"/>
      <c r="I405" s="58"/>
      <c r="J405" s="58"/>
      <c r="K405" s="58"/>
      <c r="L405" s="58"/>
      <c r="M405" s="58"/>
      <c r="N405" s="58"/>
      <c r="O405" s="58"/>
    </row>
    <row r="406">
      <c r="A406" s="95"/>
      <c r="B406" s="95"/>
      <c r="C406" s="52"/>
      <c r="D406" s="52"/>
      <c r="E406" s="52"/>
      <c r="F406" s="58"/>
      <c r="G406" s="58"/>
      <c r="H406" s="58"/>
      <c r="I406" s="58"/>
      <c r="J406" s="58"/>
      <c r="K406" s="58"/>
      <c r="L406" s="58"/>
      <c r="M406" s="58"/>
      <c r="N406" s="58"/>
      <c r="O406" s="58"/>
    </row>
    <row r="407">
      <c r="A407" s="95"/>
      <c r="B407" s="95"/>
      <c r="C407" s="52"/>
      <c r="D407" s="52"/>
      <c r="E407" s="52"/>
      <c r="F407" s="58"/>
      <c r="G407" s="58"/>
      <c r="H407" s="58"/>
      <c r="I407" s="58"/>
      <c r="J407" s="58"/>
      <c r="K407" s="58"/>
      <c r="L407" s="58"/>
      <c r="M407" s="58"/>
      <c r="N407" s="58"/>
      <c r="O407" s="58"/>
    </row>
    <row r="408">
      <c r="A408" s="95"/>
      <c r="B408" s="95"/>
      <c r="C408" s="52"/>
      <c r="D408" s="52"/>
      <c r="E408" s="52"/>
      <c r="F408" s="58"/>
      <c r="G408" s="58"/>
      <c r="H408" s="58"/>
      <c r="I408" s="58"/>
      <c r="J408" s="58"/>
      <c r="K408" s="58"/>
      <c r="L408" s="58"/>
      <c r="M408" s="58"/>
      <c r="N408" s="58"/>
      <c r="O408" s="58"/>
    </row>
    <row r="409">
      <c r="A409" s="95"/>
      <c r="B409" s="95"/>
      <c r="C409" s="52"/>
      <c r="D409" s="52"/>
      <c r="E409" s="52"/>
      <c r="F409" s="58"/>
      <c r="G409" s="58"/>
      <c r="H409" s="58"/>
      <c r="I409" s="58"/>
      <c r="J409" s="58"/>
      <c r="K409" s="58"/>
      <c r="L409" s="58"/>
      <c r="M409" s="58"/>
      <c r="N409" s="58"/>
      <c r="O409" s="58"/>
    </row>
    <row r="410">
      <c r="A410" s="95"/>
      <c r="B410" s="95"/>
      <c r="C410" s="52"/>
      <c r="D410" s="52"/>
      <c r="E410" s="52"/>
      <c r="F410" s="58"/>
      <c r="G410" s="58"/>
      <c r="H410" s="58"/>
      <c r="I410" s="58"/>
      <c r="J410" s="58"/>
      <c r="K410" s="58"/>
      <c r="L410" s="58"/>
      <c r="M410" s="58"/>
      <c r="N410" s="58"/>
      <c r="O410" s="58"/>
    </row>
    <row r="411">
      <c r="A411" s="95"/>
      <c r="B411" s="95"/>
      <c r="C411" s="52"/>
      <c r="D411" s="52"/>
      <c r="E411" s="52"/>
      <c r="F411" s="58"/>
      <c r="G411" s="58"/>
      <c r="H411" s="58"/>
      <c r="I411" s="58"/>
      <c r="J411" s="58"/>
      <c r="K411" s="58"/>
      <c r="L411" s="58"/>
      <c r="M411" s="58"/>
      <c r="N411" s="58"/>
      <c r="O411" s="58"/>
    </row>
    <row r="412">
      <c r="A412" s="95"/>
      <c r="B412" s="95"/>
      <c r="C412" s="52"/>
      <c r="D412" s="52"/>
      <c r="E412" s="52"/>
      <c r="F412" s="58"/>
      <c r="G412" s="58"/>
      <c r="H412" s="58"/>
      <c r="I412" s="58"/>
      <c r="J412" s="58"/>
      <c r="K412" s="58"/>
      <c r="L412" s="58"/>
      <c r="M412" s="58"/>
      <c r="N412" s="58"/>
      <c r="O412" s="58"/>
    </row>
    <row r="413">
      <c r="A413" s="95"/>
      <c r="B413" s="95"/>
      <c r="C413" s="52"/>
      <c r="D413" s="52"/>
      <c r="E413" s="52"/>
      <c r="F413" s="58"/>
      <c r="G413" s="58"/>
      <c r="H413" s="58"/>
      <c r="I413" s="58"/>
      <c r="J413" s="58"/>
      <c r="K413" s="58"/>
      <c r="L413" s="58"/>
      <c r="M413" s="58"/>
      <c r="N413" s="58"/>
      <c r="O413" s="58"/>
    </row>
    <row r="414">
      <c r="A414" s="95"/>
      <c r="B414" s="95"/>
      <c r="C414" s="52"/>
      <c r="D414" s="52"/>
      <c r="E414" s="52"/>
      <c r="F414" s="58"/>
      <c r="G414" s="58"/>
      <c r="H414" s="58"/>
      <c r="I414" s="58"/>
      <c r="J414" s="58"/>
      <c r="K414" s="58"/>
      <c r="L414" s="58"/>
      <c r="M414" s="58"/>
      <c r="N414" s="58"/>
      <c r="O414" s="58"/>
    </row>
    <row r="415">
      <c r="A415" s="95"/>
      <c r="B415" s="95"/>
      <c r="C415" s="52"/>
      <c r="D415" s="52"/>
      <c r="E415" s="52"/>
      <c r="F415" s="58"/>
      <c r="G415" s="58"/>
      <c r="H415" s="58"/>
      <c r="I415" s="58"/>
      <c r="J415" s="58"/>
      <c r="K415" s="58"/>
      <c r="L415" s="58"/>
      <c r="M415" s="58"/>
      <c r="N415" s="58"/>
      <c r="O415" s="58"/>
    </row>
    <row r="416">
      <c r="A416" s="95"/>
      <c r="B416" s="95"/>
      <c r="C416" s="52"/>
      <c r="D416" s="52"/>
      <c r="E416" s="52"/>
      <c r="F416" s="58"/>
      <c r="G416" s="58"/>
      <c r="H416" s="58"/>
      <c r="I416" s="58"/>
      <c r="J416" s="58"/>
      <c r="K416" s="58"/>
      <c r="L416" s="58"/>
      <c r="M416" s="58"/>
      <c r="N416" s="58"/>
      <c r="O416" s="58"/>
    </row>
    <row r="417">
      <c r="A417" s="95"/>
      <c r="B417" s="95"/>
      <c r="C417" s="52"/>
      <c r="D417" s="52"/>
      <c r="E417" s="52"/>
      <c r="F417" s="58"/>
      <c r="G417" s="58"/>
      <c r="H417" s="58"/>
      <c r="I417" s="58"/>
      <c r="J417" s="58"/>
      <c r="K417" s="58"/>
      <c r="L417" s="58"/>
      <c r="M417" s="58"/>
      <c r="N417" s="58"/>
      <c r="O417" s="58"/>
    </row>
    <row r="418">
      <c r="A418" s="95"/>
      <c r="B418" s="95"/>
      <c r="C418" s="52"/>
      <c r="D418" s="52"/>
      <c r="E418" s="52"/>
      <c r="F418" s="58"/>
      <c r="G418" s="58"/>
      <c r="H418" s="58"/>
      <c r="I418" s="58"/>
      <c r="J418" s="58"/>
      <c r="K418" s="58"/>
      <c r="L418" s="58"/>
      <c r="M418" s="58"/>
      <c r="N418" s="58"/>
      <c r="O418" s="58"/>
    </row>
    <row r="419">
      <c r="A419" s="95"/>
      <c r="B419" s="95"/>
      <c r="C419" s="52"/>
      <c r="D419" s="52"/>
      <c r="E419" s="52"/>
      <c r="F419" s="58"/>
      <c r="G419" s="58"/>
      <c r="H419" s="58"/>
      <c r="I419" s="58"/>
      <c r="J419" s="58"/>
      <c r="K419" s="58"/>
      <c r="L419" s="58"/>
      <c r="M419" s="58"/>
      <c r="N419" s="58"/>
      <c r="O419" s="58"/>
    </row>
    <row r="420">
      <c r="A420" s="95"/>
      <c r="B420" s="95"/>
      <c r="C420" s="52"/>
      <c r="D420" s="52"/>
      <c r="E420" s="52"/>
      <c r="F420" s="58"/>
      <c r="G420" s="58"/>
      <c r="H420" s="58"/>
      <c r="I420" s="58"/>
      <c r="J420" s="58"/>
      <c r="K420" s="58"/>
      <c r="L420" s="58"/>
      <c r="M420" s="58"/>
      <c r="N420" s="58"/>
      <c r="O420" s="58"/>
    </row>
    <row r="421">
      <c r="A421" s="95"/>
      <c r="B421" s="95"/>
      <c r="C421" s="52"/>
      <c r="D421" s="52"/>
      <c r="E421" s="52"/>
      <c r="F421" s="58"/>
      <c r="G421" s="58"/>
      <c r="H421" s="58"/>
      <c r="I421" s="58"/>
      <c r="J421" s="58"/>
      <c r="K421" s="58"/>
      <c r="L421" s="58"/>
      <c r="M421" s="58"/>
      <c r="N421" s="58"/>
      <c r="O421" s="58"/>
    </row>
    <row r="422">
      <c r="A422" s="95"/>
      <c r="B422" s="95"/>
      <c r="C422" s="52"/>
      <c r="D422" s="52"/>
      <c r="E422" s="52"/>
      <c r="F422" s="58"/>
      <c r="G422" s="58"/>
      <c r="H422" s="58"/>
      <c r="I422" s="58"/>
      <c r="J422" s="58"/>
      <c r="K422" s="58"/>
      <c r="L422" s="58"/>
      <c r="M422" s="58"/>
      <c r="N422" s="58"/>
      <c r="O422" s="58"/>
    </row>
    <row r="423">
      <c r="A423" s="95"/>
      <c r="B423" s="95"/>
      <c r="C423" s="52"/>
      <c r="D423" s="52"/>
      <c r="E423" s="52"/>
      <c r="F423" s="58"/>
      <c r="G423" s="58"/>
      <c r="H423" s="58"/>
      <c r="I423" s="58"/>
      <c r="J423" s="58"/>
      <c r="K423" s="58"/>
      <c r="L423" s="58"/>
      <c r="M423" s="58"/>
      <c r="N423" s="58"/>
      <c r="O423" s="58"/>
    </row>
    <row r="424">
      <c r="A424" s="95"/>
      <c r="B424" s="95"/>
      <c r="C424" s="52"/>
      <c r="D424" s="52"/>
      <c r="E424" s="52"/>
      <c r="F424" s="58"/>
      <c r="G424" s="58"/>
      <c r="H424" s="58"/>
      <c r="I424" s="58"/>
      <c r="J424" s="58"/>
      <c r="K424" s="58"/>
      <c r="L424" s="58"/>
      <c r="M424" s="58"/>
      <c r="N424" s="58"/>
      <c r="O424" s="58"/>
    </row>
    <row r="425">
      <c r="A425" s="95"/>
      <c r="B425" s="95"/>
      <c r="C425" s="52"/>
      <c r="D425" s="52"/>
      <c r="E425" s="52"/>
      <c r="F425" s="58"/>
      <c r="G425" s="58"/>
      <c r="H425" s="58"/>
      <c r="I425" s="58"/>
      <c r="J425" s="58"/>
      <c r="K425" s="58"/>
      <c r="L425" s="58"/>
      <c r="M425" s="58"/>
      <c r="N425" s="58"/>
      <c r="O425" s="58"/>
    </row>
    <row r="426">
      <c r="A426" s="95"/>
      <c r="B426" s="95"/>
      <c r="C426" s="52"/>
      <c r="D426" s="52"/>
      <c r="E426" s="52"/>
      <c r="F426" s="58"/>
      <c r="G426" s="58"/>
      <c r="H426" s="58"/>
      <c r="I426" s="58"/>
      <c r="J426" s="58"/>
      <c r="K426" s="58"/>
      <c r="L426" s="58"/>
      <c r="M426" s="58"/>
      <c r="N426" s="58"/>
      <c r="O426" s="58"/>
    </row>
    <row r="427">
      <c r="A427" s="95"/>
      <c r="B427" s="95"/>
      <c r="C427" s="52"/>
      <c r="D427" s="52"/>
      <c r="E427" s="52"/>
      <c r="F427" s="58"/>
      <c r="G427" s="58"/>
      <c r="H427" s="58"/>
      <c r="I427" s="58"/>
      <c r="J427" s="58"/>
      <c r="K427" s="58"/>
      <c r="L427" s="58"/>
      <c r="M427" s="58"/>
      <c r="N427" s="58"/>
      <c r="O427" s="58"/>
    </row>
    <row r="428">
      <c r="A428" s="95"/>
      <c r="B428" s="95"/>
      <c r="C428" s="52"/>
      <c r="D428" s="52"/>
      <c r="E428" s="52"/>
      <c r="F428" s="58"/>
      <c r="G428" s="58"/>
      <c r="H428" s="58"/>
      <c r="I428" s="58"/>
      <c r="J428" s="58"/>
      <c r="K428" s="58"/>
      <c r="L428" s="58"/>
      <c r="M428" s="58"/>
      <c r="N428" s="58"/>
      <c r="O428" s="58"/>
    </row>
    <row r="429">
      <c r="A429" s="95"/>
      <c r="B429" s="95"/>
      <c r="C429" s="52"/>
      <c r="D429" s="52"/>
      <c r="E429" s="52"/>
      <c r="F429" s="58"/>
      <c r="G429" s="58"/>
      <c r="H429" s="58"/>
      <c r="I429" s="58"/>
      <c r="J429" s="58"/>
      <c r="K429" s="58"/>
      <c r="L429" s="58"/>
      <c r="M429" s="58"/>
      <c r="N429" s="58"/>
      <c r="O429" s="58"/>
    </row>
    <row r="430">
      <c r="A430" s="95"/>
      <c r="B430" s="95"/>
      <c r="C430" s="52"/>
      <c r="D430" s="52"/>
      <c r="E430" s="52"/>
      <c r="F430" s="58"/>
      <c r="G430" s="58"/>
      <c r="H430" s="58"/>
      <c r="I430" s="58"/>
      <c r="J430" s="58"/>
      <c r="K430" s="58"/>
      <c r="L430" s="58"/>
      <c r="M430" s="58"/>
      <c r="N430" s="58"/>
      <c r="O430" s="58"/>
    </row>
    <row r="431">
      <c r="A431" s="95"/>
      <c r="B431" s="95"/>
      <c r="C431" s="52"/>
      <c r="D431" s="52"/>
      <c r="E431" s="52"/>
      <c r="F431" s="58"/>
      <c r="G431" s="58"/>
      <c r="H431" s="58"/>
      <c r="I431" s="58"/>
      <c r="J431" s="58"/>
      <c r="K431" s="58"/>
      <c r="L431" s="58"/>
      <c r="M431" s="58"/>
      <c r="N431" s="58"/>
      <c r="O431" s="58"/>
    </row>
    <row r="432">
      <c r="A432" s="95"/>
      <c r="B432" s="95"/>
      <c r="C432" s="52"/>
      <c r="D432" s="52"/>
      <c r="E432" s="52"/>
      <c r="F432" s="58"/>
      <c r="G432" s="58"/>
      <c r="H432" s="58"/>
      <c r="I432" s="58"/>
      <c r="J432" s="58"/>
      <c r="K432" s="58"/>
      <c r="L432" s="58"/>
      <c r="M432" s="58"/>
      <c r="N432" s="58"/>
      <c r="O432" s="58"/>
    </row>
    <row r="433">
      <c r="A433" s="95"/>
      <c r="B433" s="95"/>
      <c r="C433" s="52"/>
      <c r="D433" s="52"/>
      <c r="E433" s="52"/>
      <c r="F433" s="58"/>
      <c r="G433" s="58"/>
      <c r="H433" s="58"/>
      <c r="I433" s="58"/>
      <c r="J433" s="58"/>
      <c r="K433" s="58"/>
      <c r="L433" s="58"/>
      <c r="M433" s="58"/>
      <c r="N433" s="58"/>
      <c r="O433" s="58"/>
    </row>
    <row r="434">
      <c r="A434" s="95"/>
      <c r="B434" s="95"/>
      <c r="C434" s="52"/>
      <c r="D434" s="52"/>
      <c r="E434" s="52"/>
      <c r="F434" s="58"/>
      <c r="G434" s="58"/>
      <c r="H434" s="58"/>
      <c r="I434" s="58"/>
      <c r="J434" s="58"/>
      <c r="K434" s="58"/>
      <c r="L434" s="58"/>
      <c r="M434" s="58"/>
      <c r="N434" s="58"/>
      <c r="O434" s="58"/>
    </row>
    <row r="435">
      <c r="A435" s="95"/>
      <c r="B435" s="95"/>
      <c r="C435" s="52"/>
      <c r="D435" s="52"/>
      <c r="E435" s="52"/>
      <c r="F435" s="58"/>
      <c r="G435" s="58"/>
      <c r="H435" s="58"/>
      <c r="I435" s="58"/>
      <c r="J435" s="58"/>
      <c r="K435" s="58"/>
      <c r="L435" s="58"/>
      <c r="M435" s="58"/>
      <c r="N435" s="58"/>
      <c r="O435" s="58"/>
    </row>
    <row r="436">
      <c r="A436" s="95"/>
      <c r="B436" s="95"/>
      <c r="C436" s="52"/>
      <c r="D436" s="52"/>
      <c r="E436" s="52"/>
      <c r="F436" s="58"/>
      <c r="G436" s="58"/>
      <c r="H436" s="58"/>
      <c r="I436" s="58"/>
      <c r="J436" s="58"/>
      <c r="K436" s="58"/>
      <c r="L436" s="58"/>
      <c r="M436" s="58"/>
      <c r="N436" s="58"/>
      <c r="O436" s="58"/>
    </row>
    <row r="437">
      <c r="A437" s="95"/>
      <c r="B437" s="95"/>
      <c r="C437" s="52"/>
      <c r="D437" s="52"/>
      <c r="E437" s="52"/>
      <c r="F437" s="58"/>
      <c r="G437" s="58"/>
      <c r="H437" s="58"/>
      <c r="I437" s="58"/>
      <c r="J437" s="58"/>
      <c r="K437" s="58"/>
      <c r="L437" s="58"/>
      <c r="M437" s="58"/>
      <c r="N437" s="58"/>
      <c r="O437" s="58"/>
    </row>
    <row r="438">
      <c r="A438" s="95"/>
      <c r="B438" s="95"/>
      <c r="C438" s="52"/>
      <c r="D438" s="52"/>
      <c r="E438" s="52"/>
      <c r="F438" s="58"/>
      <c r="G438" s="58"/>
      <c r="H438" s="58"/>
      <c r="I438" s="58"/>
      <c r="J438" s="58"/>
      <c r="K438" s="58"/>
      <c r="L438" s="58"/>
      <c r="M438" s="58"/>
      <c r="N438" s="58"/>
      <c r="O438" s="58"/>
    </row>
    <row r="439">
      <c r="A439" s="95"/>
      <c r="B439" s="95"/>
      <c r="C439" s="52"/>
      <c r="D439" s="52"/>
      <c r="E439" s="52"/>
      <c r="F439" s="58"/>
      <c r="G439" s="58"/>
      <c r="H439" s="58"/>
      <c r="I439" s="58"/>
      <c r="J439" s="58"/>
      <c r="K439" s="58"/>
      <c r="L439" s="58"/>
      <c r="M439" s="58"/>
      <c r="N439" s="58"/>
      <c r="O439" s="58"/>
    </row>
    <row r="440">
      <c r="A440" s="95"/>
      <c r="B440" s="95"/>
      <c r="C440" s="52"/>
      <c r="D440" s="52"/>
      <c r="E440" s="52"/>
      <c r="F440" s="58"/>
      <c r="G440" s="58"/>
      <c r="H440" s="58"/>
      <c r="I440" s="58"/>
      <c r="J440" s="58"/>
      <c r="K440" s="58"/>
      <c r="L440" s="58"/>
      <c r="M440" s="58"/>
      <c r="N440" s="58"/>
      <c r="O440" s="58"/>
    </row>
    <row r="441">
      <c r="A441" s="95"/>
      <c r="B441" s="95"/>
      <c r="C441" s="52"/>
      <c r="D441" s="52"/>
      <c r="E441" s="52"/>
      <c r="F441" s="58"/>
      <c r="G441" s="58"/>
      <c r="H441" s="58"/>
      <c r="I441" s="58"/>
      <c r="J441" s="58"/>
      <c r="K441" s="58"/>
      <c r="L441" s="58"/>
      <c r="M441" s="58"/>
      <c r="N441" s="58"/>
      <c r="O441" s="58"/>
    </row>
    <row r="442">
      <c r="A442" s="95"/>
      <c r="B442" s="95"/>
      <c r="C442" s="52"/>
      <c r="D442" s="52"/>
      <c r="E442" s="52"/>
      <c r="F442" s="58"/>
      <c r="G442" s="58"/>
      <c r="H442" s="58"/>
      <c r="I442" s="58"/>
      <c r="J442" s="58"/>
      <c r="K442" s="58"/>
      <c r="L442" s="58"/>
      <c r="M442" s="58"/>
      <c r="N442" s="58"/>
      <c r="O442" s="58"/>
    </row>
    <row r="443">
      <c r="A443" s="95"/>
      <c r="B443" s="95"/>
      <c r="C443" s="52"/>
      <c r="D443" s="52"/>
      <c r="E443" s="52"/>
      <c r="F443" s="58"/>
      <c r="G443" s="58"/>
      <c r="H443" s="58"/>
      <c r="I443" s="58"/>
      <c r="J443" s="58"/>
      <c r="K443" s="58"/>
      <c r="L443" s="58"/>
      <c r="M443" s="58"/>
      <c r="N443" s="58"/>
      <c r="O443" s="58"/>
    </row>
    <row r="444">
      <c r="A444" s="95"/>
      <c r="B444" s="95"/>
      <c r="C444" s="52"/>
      <c r="D444" s="52"/>
      <c r="E444" s="52"/>
      <c r="F444" s="58"/>
      <c r="G444" s="58"/>
      <c r="H444" s="58"/>
      <c r="I444" s="58"/>
      <c r="J444" s="58"/>
      <c r="K444" s="58"/>
      <c r="L444" s="58"/>
      <c r="M444" s="58"/>
      <c r="N444" s="58"/>
      <c r="O444" s="58"/>
    </row>
    <row r="445">
      <c r="A445" s="95"/>
      <c r="B445" s="95"/>
      <c r="C445" s="52"/>
      <c r="D445" s="52"/>
      <c r="E445" s="52"/>
      <c r="F445" s="58"/>
      <c r="G445" s="58"/>
      <c r="H445" s="58"/>
      <c r="I445" s="58"/>
      <c r="J445" s="58"/>
      <c r="K445" s="58"/>
      <c r="L445" s="58"/>
      <c r="M445" s="58"/>
      <c r="N445" s="58"/>
      <c r="O445" s="58"/>
    </row>
    <row r="446">
      <c r="A446" s="95"/>
      <c r="B446" s="95"/>
      <c r="C446" s="52"/>
      <c r="D446" s="52"/>
      <c r="E446" s="52"/>
      <c r="F446" s="58"/>
      <c r="G446" s="58"/>
      <c r="H446" s="58"/>
      <c r="I446" s="58"/>
      <c r="J446" s="58"/>
      <c r="K446" s="58"/>
      <c r="L446" s="58"/>
      <c r="M446" s="58"/>
      <c r="N446" s="58"/>
      <c r="O446" s="58"/>
    </row>
    <row r="447">
      <c r="A447" s="95"/>
      <c r="B447" s="95"/>
      <c r="C447" s="52"/>
      <c r="D447" s="52"/>
      <c r="E447" s="52"/>
      <c r="F447" s="58"/>
      <c r="G447" s="58"/>
      <c r="H447" s="58"/>
      <c r="I447" s="58"/>
      <c r="J447" s="58"/>
      <c r="K447" s="58"/>
      <c r="L447" s="58"/>
      <c r="M447" s="58"/>
      <c r="N447" s="58"/>
      <c r="O447" s="58"/>
    </row>
    <row r="448">
      <c r="A448" s="95"/>
      <c r="B448" s="95"/>
      <c r="C448" s="52"/>
      <c r="D448" s="52"/>
      <c r="E448" s="52"/>
      <c r="F448" s="58"/>
      <c r="G448" s="58"/>
      <c r="H448" s="58"/>
      <c r="I448" s="58"/>
      <c r="J448" s="58"/>
      <c r="K448" s="58"/>
      <c r="L448" s="58"/>
      <c r="M448" s="58"/>
      <c r="N448" s="58"/>
      <c r="O448" s="58"/>
    </row>
    <row r="449">
      <c r="A449" s="95"/>
      <c r="B449" s="95"/>
      <c r="C449" s="52"/>
      <c r="D449" s="52"/>
      <c r="E449" s="52"/>
      <c r="F449" s="58"/>
      <c r="G449" s="58"/>
      <c r="H449" s="58"/>
      <c r="I449" s="58"/>
      <c r="J449" s="58"/>
      <c r="K449" s="58"/>
      <c r="L449" s="58"/>
      <c r="M449" s="58"/>
      <c r="N449" s="58"/>
      <c r="O449" s="58"/>
    </row>
    <row r="450">
      <c r="A450" s="95"/>
      <c r="B450" s="95"/>
      <c r="C450" s="52"/>
      <c r="D450" s="52"/>
      <c r="E450" s="52"/>
      <c r="F450" s="58"/>
      <c r="G450" s="58"/>
      <c r="H450" s="58"/>
      <c r="I450" s="58"/>
      <c r="J450" s="58"/>
      <c r="K450" s="58"/>
      <c r="L450" s="58"/>
      <c r="M450" s="58"/>
      <c r="N450" s="58"/>
      <c r="O450" s="58"/>
    </row>
    <row r="451">
      <c r="A451" s="95"/>
      <c r="B451" s="95"/>
      <c r="C451" s="52"/>
      <c r="D451" s="52"/>
      <c r="E451" s="52"/>
      <c r="F451" s="58"/>
      <c r="G451" s="58"/>
      <c r="H451" s="58"/>
      <c r="I451" s="58"/>
      <c r="J451" s="58"/>
      <c r="K451" s="58"/>
      <c r="L451" s="58"/>
      <c r="M451" s="58"/>
      <c r="N451" s="58"/>
      <c r="O451" s="58"/>
    </row>
    <row r="452">
      <c r="A452" s="95"/>
      <c r="B452" s="95"/>
      <c r="C452" s="52"/>
      <c r="D452" s="52"/>
      <c r="E452" s="52"/>
      <c r="F452" s="58"/>
      <c r="G452" s="58"/>
      <c r="H452" s="58"/>
      <c r="I452" s="58"/>
      <c r="J452" s="58"/>
      <c r="K452" s="58"/>
      <c r="L452" s="58"/>
      <c r="M452" s="58"/>
      <c r="N452" s="58"/>
      <c r="O452" s="58"/>
    </row>
    <row r="453">
      <c r="A453" s="95"/>
      <c r="B453" s="95"/>
      <c r="C453" s="52"/>
      <c r="D453" s="52"/>
      <c r="E453" s="52"/>
      <c r="F453" s="58"/>
      <c r="G453" s="58"/>
      <c r="H453" s="58"/>
      <c r="I453" s="58"/>
      <c r="J453" s="58"/>
      <c r="K453" s="58"/>
      <c r="L453" s="58"/>
      <c r="M453" s="58"/>
      <c r="N453" s="58"/>
      <c r="O453" s="58"/>
    </row>
    <row r="454">
      <c r="A454" s="95"/>
      <c r="B454" s="95"/>
      <c r="C454" s="52"/>
      <c r="D454" s="52"/>
      <c r="E454" s="52"/>
      <c r="F454" s="58"/>
      <c r="G454" s="58"/>
      <c r="H454" s="58"/>
      <c r="I454" s="58"/>
      <c r="J454" s="58"/>
      <c r="K454" s="58"/>
      <c r="L454" s="58"/>
      <c r="M454" s="58"/>
      <c r="N454" s="58"/>
      <c r="O454" s="58"/>
    </row>
    <row r="455">
      <c r="A455" s="95"/>
      <c r="B455" s="95"/>
      <c r="C455" s="52"/>
      <c r="D455" s="52"/>
      <c r="E455" s="52"/>
      <c r="F455" s="58"/>
      <c r="G455" s="58"/>
      <c r="H455" s="58"/>
      <c r="I455" s="58"/>
      <c r="J455" s="58"/>
      <c r="K455" s="58"/>
      <c r="L455" s="58"/>
      <c r="M455" s="58"/>
      <c r="N455" s="58"/>
      <c r="O455" s="58"/>
    </row>
    <row r="456">
      <c r="A456" s="95"/>
      <c r="B456" s="95"/>
      <c r="C456" s="52"/>
      <c r="D456" s="52"/>
      <c r="E456" s="52"/>
      <c r="F456" s="58"/>
      <c r="G456" s="58"/>
      <c r="H456" s="58"/>
      <c r="I456" s="58"/>
      <c r="J456" s="58"/>
      <c r="K456" s="58"/>
      <c r="L456" s="58"/>
      <c r="M456" s="58"/>
      <c r="N456" s="58"/>
      <c r="O456" s="58"/>
    </row>
    <row r="457">
      <c r="A457" s="95"/>
      <c r="B457" s="95"/>
      <c r="C457" s="52"/>
      <c r="D457" s="52"/>
      <c r="E457" s="52"/>
      <c r="F457" s="58"/>
      <c r="G457" s="58"/>
      <c r="H457" s="58"/>
      <c r="I457" s="58"/>
      <c r="J457" s="58"/>
      <c r="K457" s="58"/>
      <c r="L457" s="58"/>
      <c r="M457" s="58"/>
      <c r="N457" s="58"/>
      <c r="O457" s="58"/>
    </row>
    <row r="458">
      <c r="A458" s="95"/>
      <c r="B458" s="95"/>
      <c r="C458" s="52"/>
      <c r="D458" s="52"/>
      <c r="E458" s="52"/>
      <c r="F458" s="58"/>
      <c r="G458" s="58"/>
      <c r="H458" s="58"/>
      <c r="I458" s="58"/>
      <c r="J458" s="58"/>
      <c r="K458" s="58"/>
      <c r="L458" s="58"/>
      <c r="M458" s="58"/>
      <c r="N458" s="58"/>
      <c r="O458" s="58"/>
    </row>
    <row r="459">
      <c r="A459" s="95"/>
      <c r="B459" s="95"/>
      <c r="C459" s="52"/>
      <c r="D459" s="52"/>
      <c r="E459" s="52"/>
      <c r="F459" s="58"/>
      <c r="G459" s="58"/>
      <c r="H459" s="58"/>
      <c r="I459" s="58"/>
      <c r="J459" s="58"/>
      <c r="K459" s="58"/>
      <c r="L459" s="58"/>
      <c r="M459" s="58"/>
      <c r="N459" s="58"/>
      <c r="O459" s="58"/>
    </row>
    <row r="460">
      <c r="A460" s="95"/>
      <c r="B460" s="95"/>
      <c r="C460" s="52"/>
      <c r="D460" s="52"/>
      <c r="E460" s="52"/>
      <c r="F460" s="58"/>
      <c r="G460" s="58"/>
      <c r="H460" s="58"/>
      <c r="I460" s="58"/>
      <c r="J460" s="58"/>
      <c r="K460" s="58"/>
      <c r="L460" s="58"/>
      <c r="M460" s="58"/>
      <c r="N460" s="58"/>
      <c r="O460" s="58"/>
    </row>
    <row r="461">
      <c r="A461" s="95"/>
      <c r="B461" s="95"/>
      <c r="C461" s="52"/>
      <c r="D461" s="52"/>
      <c r="E461" s="52"/>
      <c r="F461" s="58"/>
      <c r="G461" s="58"/>
      <c r="H461" s="58"/>
      <c r="I461" s="58"/>
      <c r="J461" s="58"/>
      <c r="K461" s="58"/>
      <c r="L461" s="58"/>
      <c r="M461" s="58"/>
      <c r="N461" s="58"/>
      <c r="O461" s="58"/>
    </row>
    <row r="462">
      <c r="A462" s="95"/>
      <c r="B462" s="95"/>
      <c r="C462" s="52"/>
      <c r="D462" s="52"/>
      <c r="E462" s="52"/>
      <c r="F462" s="58"/>
      <c r="G462" s="58"/>
      <c r="H462" s="58"/>
      <c r="I462" s="58"/>
      <c r="J462" s="58"/>
      <c r="K462" s="58"/>
      <c r="L462" s="58"/>
      <c r="M462" s="58"/>
      <c r="N462" s="58"/>
      <c r="O462" s="58"/>
    </row>
    <row r="463">
      <c r="A463" s="95"/>
      <c r="B463" s="95"/>
      <c r="C463" s="52"/>
      <c r="D463" s="52"/>
      <c r="E463" s="52"/>
      <c r="F463" s="58"/>
      <c r="G463" s="58"/>
      <c r="H463" s="58"/>
      <c r="I463" s="58"/>
      <c r="J463" s="58"/>
      <c r="K463" s="58"/>
      <c r="L463" s="58"/>
      <c r="M463" s="58"/>
      <c r="N463" s="58"/>
      <c r="O463" s="58"/>
    </row>
    <row r="464">
      <c r="A464" s="95"/>
      <c r="B464" s="95"/>
      <c r="C464" s="52"/>
      <c r="D464" s="52"/>
      <c r="E464" s="52"/>
      <c r="F464" s="58"/>
      <c r="G464" s="58"/>
      <c r="H464" s="58"/>
      <c r="I464" s="58"/>
      <c r="J464" s="58"/>
      <c r="K464" s="58"/>
      <c r="L464" s="58"/>
      <c r="M464" s="58"/>
      <c r="N464" s="58"/>
      <c r="O464" s="58"/>
    </row>
    <row r="465">
      <c r="A465" s="95"/>
      <c r="B465" s="95"/>
      <c r="C465" s="52"/>
      <c r="D465" s="52"/>
      <c r="E465" s="52"/>
      <c r="F465" s="58"/>
      <c r="G465" s="58"/>
      <c r="H465" s="58"/>
      <c r="I465" s="58"/>
      <c r="J465" s="58"/>
      <c r="K465" s="58"/>
      <c r="L465" s="58"/>
      <c r="M465" s="58"/>
      <c r="N465" s="58"/>
      <c r="O465" s="58"/>
    </row>
    <row r="466">
      <c r="A466" s="95"/>
      <c r="B466" s="95"/>
      <c r="C466" s="52"/>
      <c r="D466" s="52"/>
      <c r="E466" s="52"/>
      <c r="F466" s="58"/>
      <c r="G466" s="58"/>
      <c r="H466" s="58"/>
      <c r="I466" s="58"/>
      <c r="J466" s="58"/>
      <c r="K466" s="58"/>
      <c r="L466" s="58"/>
      <c r="M466" s="58"/>
      <c r="N466" s="58"/>
      <c r="O466" s="58"/>
    </row>
    <row r="467">
      <c r="A467" s="95"/>
      <c r="B467" s="95"/>
      <c r="C467" s="52"/>
      <c r="D467" s="52"/>
      <c r="E467" s="52"/>
      <c r="F467" s="58"/>
      <c r="G467" s="58"/>
      <c r="H467" s="58"/>
      <c r="I467" s="58"/>
      <c r="J467" s="58"/>
      <c r="K467" s="58"/>
      <c r="L467" s="58"/>
      <c r="M467" s="58"/>
      <c r="N467" s="58"/>
      <c r="O467" s="58"/>
    </row>
    <row r="468">
      <c r="A468" s="95"/>
      <c r="B468" s="95"/>
      <c r="C468" s="52"/>
      <c r="D468" s="52"/>
      <c r="E468" s="52"/>
      <c r="F468" s="58"/>
      <c r="G468" s="58"/>
      <c r="H468" s="58"/>
      <c r="I468" s="58"/>
      <c r="J468" s="58"/>
      <c r="K468" s="58"/>
      <c r="L468" s="58"/>
      <c r="M468" s="58"/>
      <c r="N468" s="58"/>
      <c r="O468" s="58"/>
    </row>
    <row r="469">
      <c r="A469" s="95"/>
      <c r="B469" s="95"/>
      <c r="C469" s="52"/>
      <c r="D469" s="52"/>
      <c r="E469" s="52"/>
      <c r="F469" s="58"/>
      <c r="G469" s="58"/>
      <c r="H469" s="58"/>
      <c r="I469" s="58"/>
      <c r="J469" s="58"/>
      <c r="K469" s="58"/>
      <c r="L469" s="58"/>
      <c r="M469" s="58"/>
      <c r="N469" s="58"/>
      <c r="O469" s="58"/>
    </row>
    <row r="470">
      <c r="A470" s="95"/>
      <c r="B470" s="95"/>
      <c r="C470" s="52"/>
      <c r="D470" s="52"/>
      <c r="E470" s="52"/>
      <c r="F470" s="58"/>
      <c r="G470" s="58"/>
      <c r="H470" s="58"/>
      <c r="I470" s="58"/>
      <c r="J470" s="58"/>
      <c r="K470" s="58"/>
      <c r="L470" s="58"/>
      <c r="M470" s="58"/>
      <c r="N470" s="58"/>
      <c r="O470" s="58"/>
    </row>
    <row r="471">
      <c r="A471" s="95"/>
      <c r="B471" s="95"/>
      <c r="C471" s="52"/>
      <c r="D471" s="52"/>
      <c r="E471" s="52"/>
      <c r="F471" s="58"/>
      <c r="G471" s="58"/>
      <c r="H471" s="58"/>
      <c r="I471" s="58"/>
      <c r="J471" s="58"/>
      <c r="K471" s="58"/>
      <c r="L471" s="58"/>
      <c r="M471" s="58"/>
      <c r="N471" s="58"/>
      <c r="O471" s="58"/>
    </row>
    <row r="472">
      <c r="A472" s="95"/>
      <c r="B472" s="95"/>
      <c r="C472" s="52"/>
      <c r="D472" s="52"/>
      <c r="E472" s="52"/>
      <c r="F472" s="58"/>
      <c r="G472" s="58"/>
      <c r="H472" s="58"/>
      <c r="I472" s="58"/>
      <c r="J472" s="58"/>
      <c r="K472" s="58"/>
      <c r="L472" s="58"/>
      <c r="M472" s="58"/>
      <c r="N472" s="58"/>
      <c r="O472" s="58"/>
    </row>
    <row r="473">
      <c r="A473" s="95"/>
      <c r="B473" s="95"/>
      <c r="C473" s="52"/>
      <c r="D473" s="52"/>
      <c r="E473" s="52"/>
      <c r="F473" s="58"/>
      <c r="G473" s="58"/>
      <c r="H473" s="58"/>
      <c r="I473" s="58"/>
      <c r="J473" s="58"/>
      <c r="K473" s="58"/>
      <c r="L473" s="58"/>
      <c r="M473" s="58"/>
      <c r="N473" s="58"/>
      <c r="O473" s="58"/>
    </row>
    <row r="474">
      <c r="A474" s="95"/>
      <c r="B474" s="95"/>
      <c r="C474" s="52"/>
      <c r="D474" s="52"/>
      <c r="E474" s="52"/>
      <c r="F474" s="58"/>
      <c r="G474" s="58"/>
      <c r="H474" s="58"/>
      <c r="I474" s="58"/>
      <c r="J474" s="58"/>
      <c r="K474" s="58"/>
      <c r="L474" s="58"/>
      <c r="M474" s="58"/>
      <c r="N474" s="58"/>
      <c r="O474" s="58"/>
    </row>
    <row r="475">
      <c r="A475" s="95"/>
      <c r="B475" s="95"/>
      <c r="C475" s="52"/>
      <c r="D475" s="52"/>
      <c r="E475" s="52"/>
      <c r="F475" s="58"/>
      <c r="G475" s="58"/>
      <c r="H475" s="58"/>
      <c r="I475" s="58"/>
      <c r="J475" s="58"/>
      <c r="K475" s="58"/>
      <c r="L475" s="58"/>
      <c r="M475" s="58"/>
      <c r="N475" s="58"/>
      <c r="O475" s="58"/>
    </row>
    <row r="476">
      <c r="A476" s="95"/>
      <c r="B476" s="95"/>
      <c r="C476" s="52"/>
      <c r="D476" s="52"/>
      <c r="E476" s="52"/>
      <c r="F476" s="58"/>
      <c r="G476" s="58"/>
      <c r="H476" s="58"/>
      <c r="I476" s="58"/>
      <c r="J476" s="58"/>
      <c r="K476" s="58"/>
      <c r="L476" s="58"/>
      <c r="M476" s="58"/>
      <c r="N476" s="58"/>
      <c r="O476" s="58"/>
    </row>
    <row r="477">
      <c r="A477" s="95"/>
      <c r="B477" s="95"/>
      <c r="C477" s="52"/>
      <c r="D477" s="52"/>
      <c r="E477" s="52"/>
      <c r="F477" s="58"/>
      <c r="G477" s="58"/>
      <c r="H477" s="58"/>
      <c r="I477" s="58"/>
      <c r="J477" s="58"/>
      <c r="K477" s="58"/>
      <c r="L477" s="58"/>
      <c r="M477" s="58"/>
      <c r="N477" s="58"/>
      <c r="O477" s="58"/>
    </row>
    <row r="478">
      <c r="A478" s="95"/>
      <c r="B478" s="95"/>
      <c r="C478" s="52"/>
      <c r="D478" s="52"/>
      <c r="E478" s="52"/>
      <c r="F478" s="58"/>
      <c r="G478" s="58"/>
      <c r="H478" s="58"/>
      <c r="I478" s="58"/>
      <c r="J478" s="58"/>
      <c r="K478" s="58"/>
      <c r="L478" s="58"/>
      <c r="M478" s="58"/>
      <c r="N478" s="58"/>
      <c r="O478" s="58"/>
    </row>
    <row r="479">
      <c r="A479" s="95"/>
      <c r="B479" s="95"/>
      <c r="C479" s="52"/>
      <c r="D479" s="52"/>
      <c r="E479" s="52"/>
      <c r="F479" s="58"/>
      <c r="G479" s="58"/>
      <c r="H479" s="58"/>
      <c r="I479" s="58"/>
      <c r="J479" s="58"/>
      <c r="K479" s="58"/>
      <c r="L479" s="58"/>
      <c r="M479" s="58"/>
      <c r="N479" s="58"/>
      <c r="O479" s="58"/>
    </row>
    <row r="480">
      <c r="A480" s="95"/>
      <c r="B480" s="95"/>
      <c r="C480" s="52"/>
      <c r="D480" s="52"/>
      <c r="E480" s="52"/>
      <c r="F480" s="58"/>
      <c r="G480" s="58"/>
      <c r="H480" s="58"/>
      <c r="I480" s="58"/>
      <c r="J480" s="58"/>
      <c r="K480" s="58"/>
      <c r="L480" s="58"/>
      <c r="M480" s="58"/>
      <c r="N480" s="58"/>
      <c r="O480" s="58"/>
    </row>
    <row r="481">
      <c r="A481" s="95"/>
      <c r="B481" s="95"/>
      <c r="C481" s="52"/>
      <c r="D481" s="52"/>
      <c r="E481" s="52"/>
      <c r="F481" s="58"/>
      <c r="G481" s="58"/>
      <c r="H481" s="58"/>
      <c r="I481" s="58"/>
      <c r="J481" s="58"/>
      <c r="K481" s="58"/>
      <c r="L481" s="58"/>
      <c r="M481" s="58"/>
      <c r="N481" s="58"/>
      <c r="O481" s="58"/>
    </row>
    <row r="482">
      <c r="A482" s="95"/>
      <c r="B482" s="95"/>
      <c r="C482" s="52"/>
      <c r="D482" s="52"/>
      <c r="E482" s="52"/>
      <c r="F482" s="58"/>
      <c r="G482" s="58"/>
      <c r="H482" s="58"/>
      <c r="I482" s="58"/>
      <c r="J482" s="58"/>
      <c r="K482" s="58"/>
      <c r="L482" s="58"/>
      <c r="M482" s="58"/>
      <c r="N482" s="58"/>
      <c r="O482" s="58"/>
    </row>
    <row r="483">
      <c r="A483" s="95"/>
      <c r="B483" s="95"/>
      <c r="C483" s="52"/>
      <c r="D483" s="52"/>
      <c r="E483" s="52"/>
      <c r="F483" s="58"/>
      <c r="G483" s="58"/>
      <c r="H483" s="58"/>
      <c r="I483" s="58"/>
      <c r="J483" s="58"/>
      <c r="K483" s="58"/>
      <c r="L483" s="58"/>
      <c r="M483" s="58"/>
      <c r="N483" s="58"/>
      <c r="O483" s="58"/>
    </row>
    <row r="484">
      <c r="A484" s="95"/>
      <c r="B484" s="95"/>
      <c r="C484" s="52"/>
      <c r="D484" s="52"/>
      <c r="E484" s="52"/>
      <c r="F484" s="58"/>
      <c r="G484" s="58"/>
      <c r="H484" s="58"/>
      <c r="I484" s="58"/>
      <c r="J484" s="58"/>
      <c r="K484" s="58"/>
      <c r="L484" s="58"/>
      <c r="M484" s="58"/>
      <c r="N484" s="58"/>
      <c r="O484" s="58"/>
    </row>
    <row r="485">
      <c r="A485" s="95"/>
      <c r="B485" s="95"/>
      <c r="C485" s="52"/>
      <c r="D485" s="52"/>
      <c r="E485" s="52"/>
      <c r="F485" s="58"/>
      <c r="G485" s="58"/>
      <c r="H485" s="58"/>
      <c r="I485" s="58"/>
      <c r="J485" s="58"/>
      <c r="K485" s="58"/>
      <c r="L485" s="58"/>
      <c r="M485" s="58"/>
      <c r="N485" s="58"/>
      <c r="O485" s="58"/>
    </row>
    <row r="486">
      <c r="A486" s="95"/>
      <c r="B486" s="95"/>
      <c r="C486" s="52"/>
      <c r="D486" s="52"/>
      <c r="E486" s="52"/>
      <c r="F486" s="58"/>
      <c r="G486" s="58"/>
      <c r="H486" s="58"/>
      <c r="I486" s="58"/>
      <c r="J486" s="58"/>
      <c r="K486" s="58"/>
      <c r="L486" s="58"/>
      <c r="M486" s="58"/>
      <c r="N486" s="58"/>
      <c r="O486" s="58"/>
    </row>
    <row r="487">
      <c r="A487" s="95"/>
      <c r="B487" s="95"/>
      <c r="C487" s="52"/>
      <c r="D487" s="52"/>
      <c r="E487" s="52"/>
      <c r="F487" s="58"/>
      <c r="G487" s="58"/>
      <c r="H487" s="58"/>
      <c r="I487" s="58"/>
      <c r="J487" s="58"/>
      <c r="K487" s="58"/>
      <c r="L487" s="58"/>
      <c r="M487" s="58"/>
      <c r="N487" s="58"/>
      <c r="O487" s="58"/>
    </row>
    <row r="488">
      <c r="A488" s="95"/>
      <c r="B488" s="95"/>
      <c r="C488" s="52"/>
      <c r="D488" s="52"/>
      <c r="E488" s="52"/>
      <c r="F488" s="58"/>
      <c r="G488" s="58"/>
      <c r="H488" s="58"/>
      <c r="I488" s="58"/>
      <c r="J488" s="58"/>
      <c r="K488" s="58"/>
      <c r="L488" s="58"/>
      <c r="M488" s="58"/>
      <c r="N488" s="58"/>
      <c r="O488" s="58"/>
    </row>
    <row r="489">
      <c r="A489" s="95"/>
      <c r="B489" s="95"/>
      <c r="C489" s="52"/>
      <c r="D489" s="52"/>
      <c r="E489" s="52"/>
      <c r="F489" s="58"/>
      <c r="G489" s="58"/>
      <c r="H489" s="58"/>
      <c r="I489" s="58"/>
      <c r="J489" s="58"/>
      <c r="K489" s="58"/>
      <c r="L489" s="58"/>
      <c r="M489" s="58"/>
      <c r="N489" s="58"/>
      <c r="O489" s="58"/>
    </row>
    <row r="490">
      <c r="A490" s="95"/>
      <c r="B490" s="95"/>
      <c r="C490" s="52"/>
      <c r="D490" s="52"/>
      <c r="E490" s="52"/>
      <c r="F490" s="58"/>
      <c r="G490" s="58"/>
      <c r="H490" s="58"/>
      <c r="I490" s="58"/>
      <c r="J490" s="58"/>
      <c r="K490" s="58"/>
      <c r="L490" s="58"/>
      <c r="M490" s="58"/>
      <c r="N490" s="58"/>
      <c r="O490" s="58"/>
    </row>
    <row r="491">
      <c r="A491" s="95"/>
      <c r="B491" s="95"/>
      <c r="C491" s="52"/>
      <c r="D491" s="52"/>
      <c r="E491" s="52"/>
      <c r="F491" s="58"/>
      <c r="G491" s="58"/>
      <c r="H491" s="58"/>
      <c r="I491" s="58"/>
      <c r="J491" s="58"/>
      <c r="K491" s="58"/>
      <c r="L491" s="58"/>
      <c r="M491" s="58"/>
      <c r="N491" s="58"/>
      <c r="O491" s="58"/>
    </row>
    <row r="492">
      <c r="A492" s="95"/>
      <c r="B492" s="95"/>
      <c r="C492" s="52"/>
      <c r="D492" s="52"/>
      <c r="E492" s="52"/>
      <c r="F492" s="58"/>
      <c r="G492" s="58"/>
      <c r="H492" s="58"/>
      <c r="I492" s="58"/>
      <c r="J492" s="58"/>
      <c r="K492" s="58"/>
      <c r="L492" s="58"/>
      <c r="M492" s="58"/>
      <c r="N492" s="58"/>
      <c r="O492" s="58"/>
    </row>
    <row r="493">
      <c r="A493" s="95"/>
      <c r="B493" s="95"/>
      <c r="C493" s="52"/>
      <c r="D493" s="52"/>
      <c r="E493" s="52"/>
      <c r="F493" s="58"/>
      <c r="G493" s="58"/>
      <c r="H493" s="58"/>
      <c r="I493" s="58"/>
      <c r="J493" s="58"/>
      <c r="K493" s="58"/>
      <c r="L493" s="58"/>
      <c r="M493" s="58"/>
      <c r="N493" s="58"/>
      <c r="O493" s="58"/>
    </row>
    <row r="494">
      <c r="A494" s="95"/>
      <c r="B494" s="95"/>
      <c r="C494" s="52"/>
      <c r="D494" s="52"/>
      <c r="E494" s="52"/>
      <c r="F494" s="58"/>
      <c r="G494" s="58"/>
      <c r="H494" s="58"/>
      <c r="I494" s="58"/>
      <c r="J494" s="58"/>
      <c r="K494" s="58"/>
      <c r="L494" s="58"/>
      <c r="M494" s="58"/>
      <c r="N494" s="58"/>
      <c r="O494" s="58"/>
    </row>
    <row r="495">
      <c r="A495" s="95"/>
      <c r="B495" s="95"/>
      <c r="C495" s="52"/>
      <c r="D495" s="52"/>
      <c r="E495" s="52"/>
      <c r="F495" s="58"/>
      <c r="G495" s="58"/>
      <c r="H495" s="58"/>
      <c r="I495" s="58"/>
      <c r="J495" s="58"/>
      <c r="K495" s="58"/>
      <c r="L495" s="58"/>
      <c r="M495" s="58"/>
      <c r="N495" s="58"/>
      <c r="O495" s="58"/>
    </row>
    <row r="496">
      <c r="A496" s="95"/>
      <c r="B496" s="95"/>
      <c r="C496" s="52"/>
      <c r="D496" s="52"/>
      <c r="E496" s="52"/>
      <c r="F496" s="58"/>
      <c r="G496" s="58"/>
      <c r="H496" s="58"/>
      <c r="I496" s="58"/>
      <c r="J496" s="58"/>
      <c r="K496" s="58"/>
      <c r="L496" s="58"/>
      <c r="M496" s="58"/>
      <c r="N496" s="58"/>
      <c r="O496" s="58"/>
    </row>
    <row r="497">
      <c r="A497" s="95"/>
      <c r="B497" s="95"/>
      <c r="C497" s="52"/>
      <c r="D497" s="52"/>
      <c r="E497" s="52"/>
      <c r="F497" s="58"/>
      <c r="G497" s="58"/>
      <c r="H497" s="58"/>
      <c r="I497" s="58"/>
      <c r="J497" s="58"/>
      <c r="K497" s="58"/>
      <c r="L497" s="58"/>
      <c r="M497" s="58"/>
      <c r="N497" s="58"/>
      <c r="O497" s="58"/>
    </row>
    <row r="498">
      <c r="A498" s="95"/>
      <c r="B498" s="95"/>
      <c r="C498" s="52"/>
      <c r="D498" s="52"/>
      <c r="E498" s="52"/>
      <c r="F498" s="58"/>
      <c r="G498" s="58"/>
      <c r="H498" s="58"/>
      <c r="I498" s="58"/>
      <c r="J498" s="58"/>
      <c r="K498" s="58"/>
      <c r="L498" s="58"/>
      <c r="M498" s="58"/>
      <c r="N498" s="58"/>
      <c r="O498" s="58"/>
    </row>
    <row r="499">
      <c r="A499" s="95"/>
      <c r="B499" s="95"/>
      <c r="C499" s="52"/>
      <c r="D499" s="52"/>
      <c r="E499" s="52"/>
      <c r="F499" s="58"/>
      <c r="G499" s="58"/>
      <c r="H499" s="58"/>
      <c r="I499" s="58"/>
      <c r="J499" s="58"/>
      <c r="K499" s="58"/>
      <c r="L499" s="58"/>
      <c r="M499" s="58"/>
      <c r="N499" s="58"/>
      <c r="O499" s="58"/>
    </row>
    <row r="500">
      <c r="A500" s="95"/>
      <c r="B500" s="95"/>
      <c r="C500" s="52"/>
      <c r="D500" s="52"/>
      <c r="E500" s="52"/>
      <c r="F500" s="58"/>
      <c r="G500" s="58"/>
      <c r="H500" s="58"/>
      <c r="I500" s="58"/>
      <c r="J500" s="58"/>
      <c r="K500" s="58"/>
      <c r="L500" s="58"/>
      <c r="M500" s="58"/>
      <c r="N500" s="58"/>
      <c r="O500" s="58"/>
    </row>
    <row r="501">
      <c r="A501" s="95"/>
      <c r="B501" s="95"/>
      <c r="C501" s="52"/>
      <c r="D501" s="52"/>
      <c r="E501" s="52"/>
      <c r="F501" s="58"/>
      <c r="G501" s="58"/>
      <c r="H501" s="58"/>
      <c r="I501" s="58"/>
      <c r="J501" s="58"/>
      <c r="K501" s="58"/>
      <c r="L501" s="58"/>
      <c r="M501" s="58"/>
      <c r="N501" s="58"/>
      <c r="O501" s="58"/>
    </row>
    <row r="502">
      <c r="A502" s="95"/>
      <c r="B502" s="95"/>
      <c r="C502" s="52"/>
      <c r="D502" s="52"/>
      <c r="E502" s="52"/>
      <c r="F502" s="58"/>
      <c r="G502" s="58"/>
      <c r="H502" s="58"/>
      <c r="I502" s="58"/>
      <c r="J502" s="58"/>
      <c r="K502" s="58"/>
      <c r="L502" s="58"/>
      <c r="M502" s="58"/>
      <c r="N502" s="58"/>
      <c r="O502" s="58"/>
    </row>
    <row r="503">
      <c r="A503" s="95"/>
      <c r="B503" s="95"/>
      <c r="C503" s="52"/>
      <c r="D503" s="52"/>
      <c r="E503" s="52"/>
      <c r="F503" s="58"/>
      <c r="G503" s="58"/>
      <c r="H503" s="58"/>
      <c r="I503" s="58"/>
      <c r="J503" s="58"/>
      <c r="K503" s="58"/>
      <c r="L503" s="58"/>
      <c r="M503" s="58"/>
      <c r="N503" s="58"/>
      <c r="O503" s="58"/>
    </row>
    <row r="504">
      <c r="A504" s="95"/>
      <c r="B504" s="95"/>
      <c r="C504" s="52"/>
      <c r="D504" s="52"/>
      <c r="E504" s="52"/>
      <c r="F504" s="58"/>
      <c r="G504" s="58"/>
      <c r="H504" s="58"/>
      <c r="I504" s="58"/>
      <c r="J504" s="58"/>
      <c r="K504" s="58"/>
      <c r="L504" s="58"/>
      <c r="M504" s="58"/>
      <c r="N504" s="58"/>
      <c r="O504" s="58"/>
    </row>
    <row r="505">
      <c r="A505" s="95"/>
      <c r="B505" s="95"/>
      <c r="C505" s="52"/>
      <c r="D505" s="52"/>
      <c r="E505" s="52"/>
      <c r="F505" s="58"/>
      <c r="G505" s="58"/>
      <c r="H505" s="58"/>
      <c r="I505" s="58"/>
      <c r="J505" s="58"/>
      <c r="K505" s="58"/>
      <c r="L505" s="58"/>
      <c r="M505" s="58"/>
      <c r="N505" s="58"/>
      <c r="O505" s="58"/>
    </row>
    <row r="506">
      <c r="A506" s="95"/>
      <c r="B506" s="95"/>
      <c r="C506" s="52"/>
      <c r="D506" s="52"/>
      <c r="E506" s="52"/>
      <c r="F506" s="58"/>
      <c r="G506" s="58"/>
      <c r="H506" s="58"/>
      <c r="I506" s="58"/>
      <c r="J506" s="58"/>
      <c r="K506" s="58"/>
      <c r="L506" s="58"/>
      <c r="M506" s="58"/>
      <c r="N506" s="58"/>
      <c r="O506" s="58"/>
    </row>
    <row r="507">
      <c r="A507" s="95"/>
      <c r="B507" s="95"/>
      <c r="C507" s="52"/>
      <c r="D507" s="52"/>
      <c r="E507" s="52"/>
      <c r="F507" s="58"/>
      <c r="G507" s="58"/>
      <c r="H507" s="58"/>
      <c r="I507" s="58"/>
      <c r="J507" s="58"/>
      <c r="K507" s="58"/>
      <c r="L507" s="58"/>
      <c r="M507" s="58"/>
      <c r="N507" s="58"/>
      <c r="O507" s="58"/>
    </row>
    <row r="508">
      <c r="A508" s="95"/>
      <c r="B508" s="95"/>
      <c r="C508" s="52"/>
      <c r="D508" s="52"/>
      <c r="E508" s="52"/>
      <c r="F508" s="58"/>
      <c r="G508" s="58"/>
      <c r="H508" s="58"/>
      <c r="I508" s="58"/>
      <c r="J508" s="58"/>
      <c r="K508" s="58"/>
      <c r="L508" s="58"/>
      <c r="M508" s="58"/>
      <c r="N508" s="58"/>
      <c r="O508" s="58"/>
    </row>
    <row r="509">
      <c r="A509" s="95"/>
      <c r="B509" s="95"/>
      <c r="C509" s="52"/>
      <c r="D509" s="52"/>
      <c r="E509" s="52"/>
      <c r="F509" s="58"/>
      <c r="G509" s="58"/>
      <c r="H509" s="58"/>
      <c r="I509" s="58"/>
      <c r="J509" s="58"/>
      <c r="K509" s="58"/>
      <c r="L509" s="58"/>
      <c r="M509" s="58"/>
      <c r="N509" s="58"/>
      <c r="O509" s="58"/>
    </row>
    <row r="510">
      <c r="A510" s="95"/>
      <c r="B510" s="95"/>
      <c r="C510" s="52"/>
      <c r="D510" s="52"/>
      <c r="E510" s="52"/>
      <c r="F510" s="58"/>
      <c r="G510" s="58"/>
      <c r="H510" s="58"/>
      <c r="I510" s="58"/>
      <c r="J510" s="58"/>
      <c r="K510" s="58"/>
      <c r="L510" s="58"/>
      <c r="M510" s="58"/>
      <c r="N510" s="58"/>
      <c r="O510" s="58"/>
    </row>
    <row r="511">
      <c r="A511" s="95"/>
      <c r="B511" s="95"/>
      <c r="C511" s="52"/>
      <c r="D511" s="52"/>
      <c r="E511" s="52"/>
      <c r="F511" s="58"/>
      <c r="G511" s="58"/>
      <c r="H511" s="58"/>
      <c r="I511" s="58"/>
      <c r="J511" s="58"/>
      <c r="K511" s="58"/>
      <c r="L511" s="58"/>
      <c r="M511" s="58"/>
      <c r="N511" s="58"/>
      <c r="O511" s="58"/>
    </row>
    <row r="512">
      <c r="A512" s="95"/>
      <c r="B512" s="95"/>
      <c r="C512" s="52"/>
      <c r="D512" s="52"/>
      <c r="E512" s="52"/>
      <c r="F512" s="58"/>
      <c r="G512" s="58"/>
      <c r="H512" s="58"/>
      <c r="I512" s="58"/>
      <c r="J512" s="58"/>
      <c r="K512" s="58"/>
      <c r="L512" s="58"/>
      <c r="M512" s="58"/>
      <c r="N512" s="58"/>
      <c r="O512" s="58"/>
    </row>
    <row r="513">
      <c r="A513" s="95"/>
      <c r="B513" s="95"/>
      <c r="C513" s="52"/>
      <c r="D513" s="52"/>
      <c r="E513" s="52"/>
      <c r="F513" s="58"/>
      <c r="G513" s="58"/>
      <c r="H513" s="58"/>
      <c r="I513" s="58"/>
      <c r="J513" s="58"/>
      <c r="K513" s="58"/>
      <c r="L513" s="58"/>
      <c r="M513" s="58"/>
      <c r="N513" s="58"/>
      <c r="O513" s="58"/>
    </row>
    <row r="514">
      <c r="A514" s="95"/>
      <c r="B514" s="95"/>
      <c r="C514" s="52"/>
      <c r="D514" s="52"/>
      <c r="E514" s="52"/>
      <c r="F514" s="58"/>
      <c r="G514" s="58"/>
      <c r="H514" s="58"/>
      <c r="I514" s="58"/>
      <c r="J514" s="58"/>
      <c r="K514" s="58"/>
      <c r="L514" s="58"/>
      <c r="M514" s="58"/>
      <c r="N514" s="58"/>
      <c r="O514" s="58"/>
    </row>
    <row r="515">
      <c r="A515" s="95"/>
      <c r="B515" s="95"/>
      <c r="C515" s="52"/>
      <c r="D515" s="52"/>
      <c r="E515" s="52"/>
      <c r="F515" s="58"/>
      <c r="G515" s="58"/>
      <c r="H515" s="58"/>
      <c r="I515" s="58"/>
      <c r="J515" s="58"/>
      <c r="K515" s="58"/>
      <c r="L515" s="58"/>
      <c r="M515" s="58"/>
      <c r="N515" s="58"/>
      <c r="O515" s="58"/>
    </row>
    <row r="516">
      <c r="A516" s="95"/>
      <c r="B516" s="95"/>
      <c r="C516" s="52"/>
      <c r="D516" s="52"/>
      <c r="E516" s="52"/>
      <c r="F516" s="58"/>
      <c r="G516" s="58"/>
      <c r="H516" s="58"/>
      <c r="I516" s="58"/>
      <c r="J516" s="58"/>
      <c r="K516" s="58"/>
      <c r="L516" s="58"/>
      <c r="M516" s="58"/>
      <c r="N516" s="58"/>
      <c r="O516" s="58"/>
    </row>
    <row r="517">
      <c r="A517" s="95"/>
      <c r="B517" s="95"/>
      <c r="C517" s="52"/>
      <c r="D517" s="52"/>
      <c r="E517" s="52"/>
      <c r="F517" s="58"/>
      <c r="G517" s="58"/>
      <c r="H517" s="58"/>
      <c r="I517" s="58"/>
      <c r="J517" s="58"/>
      <c r="K517" s="58"/>
      <c r="L517" s="58"/>
      <c r="M517" s="58"/>
      <c r="N517" s="58"/>
      <c r="O517" s="58"/>
    </row>
    <row r="518">
      <c r="A518" s="95"/>
      <c r="B518" s="95"/>
      <c r="C518" s="52"/>
      <c r="D518" s="52"/>
      <c r="E518" s="52"/>
      <c r="F518" s="58"/>
      <c r="G518" s="58"/>
      <c r="H518" s="58"/>
      <c r="I518" s="58"/>
      <c r="J518" s="58"/>
      <c r="K518" s="58"/>
      <c r="L518" s="58"/>
      <c r="M518" s="58"/>
      <c r="N518" s="58"/>
      <c r="O518" s="58"/>
    </row>
    <row r="519">
      <c r="A519" s="95"/>
      <c r="B519" s="95"/>
      <c r="C519" s="52"/>
      <c r="D519" s="52"/>
      <c r="E519" s="52"/>
      <c r="F519" s="58"/>
      <c r="G519" s="58"/>
      <c r="H519" s="58"/>
      <c r="I519" s="58"/>
      <c r="J519" s="58"/>
      <c r="K519" s="58"/>
      <c r="L519" s="58"/>
      <c r="M519" s="58"/>
      <c r="N519" s="58"/>
      <c r="O519" s="58"/>
    </row>
    <row r="520">
      <c r="A520" s="95"/>
      <c r="B520" s="95"/>
      <c r="C520" s="52"/>
      <c r="D520" s="52"/>
      <c r="E520" s="52"/>
      <c r="F520" s="58"/>
      <c r="G520" s="58"/>
      <c r="H520" s="58"/>
      <c r="I520" s="58"/>
      <c r="J520" s="58"/>
      <c r="K520" s="58"/>
      <c r="L520" s="58"/>
      <c r="M520" s="58"/>
      <c r="N520" s="58"/>
      <c r="O520" s="58"/>
    </row>
    <row r="521">
      <c r="A521" s="95"/>
      <c r="B521" s="95"/>
      <c r="C521" s="52"/>
      <c r="D521" s="52"/>
      <c r="E521" s="52"/>
      <c r="F521" s="58"/>
      <c r="G521" s="58"/>
      <c r="H521" s="58"/>
      <c r="I521" s="58"/>
      <c r="J521" s="58"/>
      <c r="K521" s="58"/>
      <c r="L521" s="58"/>
      <c r="M521" s="58"/>
      <c r="N521" s="58"/>
      <c r="O521" s="58"/>
    </row>
    <row r="522">
      <c r="A522" s="95"/>
      <c r="B522" s="95"/>
      <c r="C522" s="52"/>
      <c r="D522" s="52"/>
      <c r="E522" s="52"/>
      <c r="F522" s="58"/>
      <c r="G522" s="58"/>
      <c r="H522" s="58"/>
      <c r="I522" s="58"/>
      <c r="J522" s="58"/>
      <c r="K522" s="58"/>
      <c r="L522" s="58"/>
      <c r="M522" s="58"/>
      <c r="N522" s="58"/>
      <c r="O522" s="58"/>
    </row>
    <row r="523">
      <c r="A523" s="95"/>
      <c r="B523" s="95"/>
      <c r="C523" s="52"/>
      <c r="D523" s="52"/>
      <c r="E523" s="52"/>
      <c r="F523" s="58"/>
      <c r="G523" s="58"/>
      <c r="H523" s="58"/>
      <c r="I523" s="58"/>
      <c r="J523" s="58"/>
      <c r="K523" s="58"/>
      <c r="L523" s="58"/>
      <c r="M523" s="58"/>
      <c r="N523" s="58"/>
      <c r="O523" s="58"/>
    </row>
    <row r="524">
      <c r="A524" s="95"/>
      <c r="B524" s="95"/>
      <c r="C524" s="52"/>
      <c r="D524" s="52"/>
      <c r="E524" s="52"/>
      <c r="F524" s="58"/>
      <c r="G524" s="58"/>
      <c r="H524" s="58"/>
      <c r="I524" s="58"/>
      <c r="J524" s="58"/>
      <c r="K524" s="58"/>
      <c r="L524" s="58"/>
      <c r="M524" s="58"/>
      <c r="N524" s="58"/>
      <c r="O524" s="58"/>
    </row>
    <row r="525">
      <c r="A525" s="95"/>
      <c r="B525" s="95"/>
      <c r="C525" s="52"/>
      <c r="D525" s="52"/>
      <c r="E525" s="52"/>
      <c r="F525" s="58"/>
      <c r="G525" s="58"/>
      <c r="H525" s="58"/>
      <c r="I525" s="58"/>
      <c r="J525" s="58"/>
      <c r="K525" s="58"/>
      <c r="L525" s="58"/>
      <c r="M525" s="58"/>
      <c r="N525" s="58"/>
      <c r="O525" s="58"/>
    </row>
    <row r="526">
      <c r="A526" s="95"/>
      <c r="B526" s="95"/>
      <c r="C526" s="52"/>
      <c r="D526" s="52"/>
      <c r="E526" s="52"/>
      <c r="F526" s="58"/>
      <c r="G526" s="58"/>
      <c r="H526" s="58"/>
      <c r="I526" s="58"/>
      <c r="J526" s="58"/>
      <c r="K526" s="58"/>
      <c r="L526" s="58"/>
      <c r="M526" s="58"/>
      <c r="N526" s="58"/>
      <c r="O526" s="58"/>
    </row>
    <row r="527">
      <c r="A527" s="95"/>
      <c r="B527" s="95"/>
      <c r="C527" s="52"/>
      <c r="D527" s="52"/>
      <c r="E527" s="52"/>
      <c r="F527" s="58"/>
      <c r="G527" s="58"/>
      <c r="H527" s="58"/>
      <c r="I527" s="58"/>
      <c r="J527" s="58"/>
      <c r="K527" s="58"/>
      <c r="L527" s="58"/>
      <c r="M527" s="58"/>
      <c r="N527" s="58"/>
      <c r="O527" s="58"/>
    </row>
    <row r="528">
      <c r="A528" s="95"/>
      <c r="B528" s="95"/>
      <c r="C528" s="52"/>
      <c r="D528" s="52"/>
      <c r="E528" s="52"/>
      <c r="F528" s="58"/>
      <c r="G528" s="58"/>
      <c r="H528" s="58"/>
      <c r="I528" s="58"/>
      <c r="J528" s="58"/>
      <c r="K528" s="58"/>
      <c r="L528" s="58"/>
      <c r="M528" s="58"/>
      <c r="N528" s="58"/>
      <c r="O528" s="58"/>
    </row>
    <row r="529">
      <c r="A529" s="95"/>
      <c r="B529" s="95"/>
      <c r="C529" s="52"/>
      <c r="D529" s="52"/>
      <c r="E529" s="52"/>
      <c r="F529" s="58"/>
      <c r="G529" s="58"/>
      <c r="H529" s="58"/>
      <c r="I529" s="58"/>
      <c r="J529" s="58"/>
      <c r="K529" s="58"/>
      <c r="L529" s="58"/>
      <c r="M529" s="58"/>
      <c r="N529" s="58"/>
      <c r="O529" s="58"/>
    </row>
    <row r="530">
      <c r="A530" s="95"/>
      <c r="B530" s="95"/>
      <c r="C530" s="52"/>
      <c r="D530" s="52"/>
      <c r="E530" s="52"/>
      <c r="F530" s="58"/>
      <c r="G530" s="58"/>
      <c r="H530" s="58"/>
      <c r="I530" s="58"/>
      <c r="J530" s="58"/>
      <c r="K530" s="58"/>
      <c r="L530" s="58"/>
      <c r="M530" s="58"/>
      <c r="N530" s="58"/>
      <c r="O530" s="58"/>
    </row>
    <row r="531">
      <c r="A531" s="95"/>
      <c r="B531" s="95"/>
      <c r="C531" s="52"/>
      <c r="D531" s="52"/>
      <c r="E531" s="52"/>
      <c r="F531" s="58"/>
      <c r="G531" s="58"/>
      <c r="H531" s="58"/>
      <c r="I531" s="58"/>
      <c r="J531" s="58"/>
      <c r="K531" s="58"/>
      <c r="L531" s="58"/>
      <c r="M531" s="58"/>
      <c r="N531" s="58"/>
      <c r="O531" s="58"/>
    </row>
    <row r="532">
      <c r="A532" s="95"/>
      <c r="B532" s="95"/>
      <c r="C532" s="52"/>
      <c r="D532" s="52"/>
      <c r="E532" s="52"/>
      <c r="F532" s="58"/>
      <c r="G532" s="58"/>
      <c r="H532" s="58"/>
      <c r="I532" s="58"/>
      <c r="J532" s="58"/>
      <c r="K532" s="58"/>
      <c r="L532" s="58"/>
      <c r="M532" s="58"/>
      <c r="N532" s="58"/>
      <c r="O532" s="58"/>
    </row>
    <row r="533">
      <c r="A533" s="95"/>
      <c r="B533" s="95"/>
      <c r="C533" s="52"/>
      <c r="D533" s="52"/>
      <c r="E533" s="52"/>
      <c r="F533" s="58"/>
      <c r="G533" s="58"/>
      <c r="H533" s="58"/>
      <c r="I533" s="58"/>
      <c r="J533" s="58"/>
      <c r="K533" s="58"/>
      <c r="L533" s="58"/>
      <c r="M533" s="58"/>
      <c r="N533" s="58"/>
      <c r="O533" s="58"/>
    </row>
    <row r="534">
      <c r="A534" s="95"/>
      <c r="B534" s="95"/>
      <c r="C534" s="52"/>
      <c r="D534" s="52"/>
      <c r="E534" s="52"/>
      <c r="F534" s="58"/>
      <c r="G534" s="58"/>
      <c r="H534" s="58"/>
      <c r="I534" s="58"/>
      <c r="J534" s="58"/>
      <c r="K534" s="58"/>
      <c r="L534" s="58"/>
      <c r="M534" s="58"/>
      <c r="N534" s="58"/>
      <c r="O534" s="58"/>
    </row>
    <row r="535">
      <c r="A535" s="95"/>
      <c r="B535" s="95"/>
      <c r="C535" s="52"/>
      <c r="D535" s="52"/>
      <c r="E535" s="52"/>
      <c r="F535" s="58"/>
      <c r="G535" s="58"/>
      <c r="H535" s="58"/>
      <c r="I535" s="58"/>
      <c r="J535" s="58"/>
      <c r="K535" s="58"/>
      <c r="L535" s="58"/>
      <c r="M535" s="58"/>
      <c r="N535" s="58"/>
      <c r="O535" s="58"/>
    </row>
    <row r="536">
      <c r="A536" s="95"/>
      <c r="B536" s="95"/>
      <c r="C536" s="52"/>
      <c r="D536" s="52"/>
      <c r="E536" s="52"/>
      <c r="F536" s="58"/>
      <c r="G536" s="58"/>
      <c r="H536" s="58"/>
      <c r="I536" s="58"/>
      <c r="J536" s="58"/>
      <c r="K536" s="58"/>
      <c r="L536" s="58"/>
      <c r="M536" s="58"/>
      <c r="N536" s="58"/>
      <c r="O536" s="58"/>
    </row>
    <row r="537">
      <c r="A537" s="95"/>
      <c r="B537" s="95"/>
      <c r="C537" s="52"/>
      <c r="D537" s="52"/>
      <c r="E537" s="52"/>
      <c r="F537" s="58"/>
      <c r="G537" s="58"/>
      <c r="H537" s="58"/>
      <c r="I537" s="58"/>
      <c r="J537" s="58"/>
      <c r="K537" s="58"/>
      <c r="L537" s="58"/>
      <c r="M537" s="58"/>
      <c r="N537" s="58"/>
      <c r="O537" s="58"/>
    </row>
    <row r="538">
      <c r="A538" s="95"/>
      <c r="B538" s="95"/>
      <c r="C538" s="52"/>
      <c r="D538" s="52"/>
      <c r="E538" s="52"/>
      <c r="F538" s="58"/>
      <c r="G538" s="58"/>
      <c r="H538" s="58"/>
      <c r="I538" s="58"/>
      <c r="J538" s="58"/>
      <c r="K538" s="58"/>
      <c r="L538" s="58"/>
      <c r="M538" s="58"/>
      <c r="N538" s="58"/>
      <c r="O538" s="58"/>
    </row>
    <row r="539">
      <c r="A539" s="95"/>
      <c r="B539" s="95"/>
      <c r="C539" s="52"/>
      <c r="D539" s="52"/>
      <c r="E539" s="52"/>
      <c r="F539" s="58"/>
      <c r="G539" s="58"/>
      <c r="H539" s="58"/>
      <c r="I539" s="58"/>
      <c r="J539" s="58"/>
      <c r="K539" s="58"/>
      <c r="L539" s="58"/>
      <c r="M539" s="58"/>
      <c r="N539" s="58"/>
      <c r="O539" s="58"/>
    </row>
    <row r="540">
      <c r="A540" s="95"/>
      <c r="B540" s="95"/>
      <c r="C540" s="52"/>
      <c r="D540" s="52"/>
      <c r="E540" s="52"/>
      <c r="F540" s="58"/>
      <c r="G540" s="58"/>
      <c r="H540" s="58"/>
      <c r="I540" s="58"/>
      <c r="J540" s="58"/>
      <c r="K540" s="58"/>
      <c r="L540" s="58"/>
      <c r="M540" s="58"/>
      <c r="N540" s="58"/>
      <c r="O540" s="58"/>
    </row>
    <row r="541">
      <c r="A541" s="95"/>
      <c r="B541" s="95"/>
      <c r="C541" s="52"/>
      <c r="D541" s="52"/>
      <c r="E541" s="52"/>
      <c r="F541" s="58"/>
      <c r="G541" s="58"/>
      <c r="H541" s="58"/>
      <c r="I541" s="58"/>
      <c r="J541" s="58"/>
      <c r="K541" s="58"/>
      <c r="L541" s="58"/>
      <c r="M541" s="58"/>
      <c r="N541" s="58"/>
      <c r="O541" s="58"/>
    </row>
    <row r="542">
      <c r="A542" s="95"/>
      <c r="B542" s="95"/>
      <c r="C542" s="52"/>
      <c r="D542" s="52"/>
      <c r="E542" s="52"/>
      <c r="F542" s="58"/>
      <c r="G542" s="58"/>
      <c r="H542" s="58"/>
      <c r="I542" s="58"/>
      <c r="J542" s="58"/>
      <c r="K542" s="58"/>
      <c r="L542" s="58"/>
      <c r="M542" s="58"/>
      <c r="N542" s="58"/>
      <c r="O542" s="58"/>
    </row>
    <row r="543">
      <c r="A543" s="95"/>
      <c r="B543" s="95"/>
      <c r="C543" s="52"/>
      <c r="D543" s="52"/>
      <c r="E543" s="52"/>
      <c r="F543" s="58"/>
      <c r="G543" s="58"/>
      <c r="H543" s="58"/>
      <c r="I543" s="58"/>
      <c r="J543" s="58"/>
      <c r="K543" s="58"/>
      <c r="L543" s="58"/>
      <c r="M543" s="58"/>
      <c r="N543" s="58"/>
      <c r="O543" s="58"/>
    </row>
    <row r="544">
      <c r="A544" s="95"/>
      <c r="B544" s="95"/>
      <c r="C544" s="52"/>
      <c r="D544" s="52"/>
      <c r="E544" s="52"/>
      <c r="F544" s="58"/>
      <c r="G544" s="58"/>
      <c r="H544" s="58"/>
      <c r="I544" s="58"/>
      <c r="J544" s="58"/>
      <c r="K544" s="58"/>
      <c r="L544" s="58"/>
      <c r="M544" s="58"/>
      <c r="N544" s="58"/>
      <c r="O544" s="58"/>
    </row>
    <row r="545">
      <c r="A545" s="95"/>
      <c r="B545" s="95"/>
      <c r="C545" s="52"/>
      <c r="D545" s="52"/>
      <c r="E545" s="52"/>
      <c r="F545" s="58"/>
      <c r="G545" s="58"/>
      <c r="H545" s="58"/>
      <c r="I545" s="58"/>
      <c r="J545" s="58"/>
      <c r="K545" s="58"/>
      <c r="L545" s="58"/>
      <c r="M545" s="58"/>
      <c r="N545" s="58"/>
      <c r="O545" s="58"/>
    </row>
    <row r="546">
      <c r="A546" s="95"/>
      <c r="B546" s="95"/>
      <c r="C546" s="52"/>
      <c r="D546" s="52"/>
      <c r="E546" s="52"/>
      <c r="F546" s="58"/>
      <c r="G546" s="58"/>
      <c r="H546" s="58"/>
      <c r="I546" s="58"/>
      <c r="J546" s="58"/>
      <c r="K546" s="58"/>
      <c r="L546" s="58"/>
      <c r="M546" s="58"/>
      <c r="N546" s="58"/>
      <c r="O546" s="58"/>
    </row>
    <row r="547">
      <c r="A547" s="95"/>
      <c r="B547" s="95"/>
      <c r="C547" s="52"/>
      <c r="D547" s="52"/>
      <c r="E547" s="52"/>
      <c r="F547" s="58"/>
      <c r="G547" s="58"/>
      <c r="H547" s="58"/>
      <c r="I547" s="58"/>
      <c r="J547" s="58"/>
      <c r="K547" s="58"/>
      <c r="L547" s="58"/>
      <c r="M547" s="58"/>
      <c r="N547" s="58"/>
      <c r="O547" s="58"/>
    </row>
    <row r="548">
      <c r="A548" s="95"/>
      <c r="B548" s="95"/>
      <c r="C548" s="52"/>
      <c r="D548" s="52"/>
      <c r="E548" s="52"/>
      <c r="F548" s="58"/>
      <c r="G548" s="58"/>
      <c r="H548" s="58"/>
      <c r="I548" s="58"/>
      <c r="J548" s="58"/>
      <c r="K548" s="58"/>
      <c r="L548" s="58"/>
      <c r="M548" s="58"/>
      <c r="N548" s="58"/>
      <c r="O548" s="58"/>
    </row>
    <row r="549">
      <c r="A549" s="95"/>
      <c r="B549" s="95"/>
      <c r="C549" s="52"/>
      <c r="D549" s="52"/>
      <c r="E549" s="52"/>
      <c r="F549" s="58"/>
      <c r="G549" s="58"/>
      <c r="H549" s="58"/>
      <c r="I549" s="58"/>
      <c r="J549" s="58"/>
      <c r="K549" s="58"/>
      <c r="L549" s="58"/>
      <c r="M549" s="58"/>
      <c r="N549" s="58"/>
      <c r="O549" s="58"/>
    </row>
    <row r="550">
      <c r="A550" s="95"/>
      <c r="B550" s="95"/>
      <c r="C550" s="52"/>
      <c r="D550" s="52"/>
      <c r="E550" s="52"/>
      <c r="F550" s="58"/>
      <c r="G550" s="58"/>
      <c r="H550" s="58"/>
      <c r="I550" s="58"/>
      <c r="J550" s="58"/>
      <c r="K550" s="58"/>
      <c r="L550" s="58"/>
      <c r="M550" s="58"/>
      <c r="N550" s="58"/>
      <c r="O550" s="58"/>
    </row>
    <row r="551">
      <c r="A551" s="95"/>
      <c r="B551" s="95"/>
      <c r="C551" s="52"/>
      <c r="D551" s="52"/>
      <c r="E551" s="52"/>
      <c r="F551" s="58"/>
      <c r="G551" s="58"/>
      <c r="H551" s="58"/>
      <c r="I551" s="58"/>
      <c r="J551" s="58"/>
      <c r="K551" s="58"/>
      <c r="L551" s="58"/>
      <c r="M551" s="58"/>
      <c r="N551" s="58"/>
      <c r="O551" s="58"/>
    </row>
    <row r="552">
      <c r="A552" s="95"/>
      <c r="B552" s="95"/>
      <c r="C552" s="52"/>
      <c r="D552" s="52"/>
      <c r="E552" s="52"/>
      <c r="F552" s="58"/>
      <c r="G552" s="58"/>
      <c r="H552" s="58"/>
      <c r="I552" s="58"/>
      <c r="J552" s="58"/>
      <c r="K552" s="58"/>
      <c r="L552" s="58"/>
      <c r="M552" s="58"/>
      <c r="N552" s="58"/>
      <c r="O552" s="58"/>
    </row>
    <row r="553">
      <c r="A553" s="95"/>
      <c r="B553" s="95"/>
      <c r="C553" s="52"/>
      <c r="D553" s="52"/>
      <c r="E553" s="52"/>
      <c r="F553" s="58"/>
      <c r="G553" s="58"/>
      <c r="H553" s="58"/>
      <c r="I553" s="58"/>
      <c r="J553" s="58"/>
      <c r="K553" s="58"/>
      <c r="L553" s="58"/>
      <c r="M553" s="58"/>
      <c r="N553" s="58"/>
      <c r="O553" s="58"/>
    </row>
    <row r="554">
      <c r="A554" s="95"/>
      <c r="B554" s="95"/>
      <c r="C554" s="52"/>
      <c r="D554" s="52"/>
      <c r="E554" s="52"/>
      <c r="F554" s="58"/>
      <c r="G554" s="58"/>
      <c r="H554" s="58"/>
      <c r="I554" s="58"/>
      <c r="J554" s="58"/>
      <c r="K554" s="58"/>
      <c r="L554" s="58"/>
      <c r="M554" s="58"/>
      <c r="N554" s="58"/>
      <c r="O554" s="58"/>
    </row>
    <row r="555">
      <c r="A555" s="95"/>
      <c r="B555" s="95"/>
      <c r="C555" s="52"/>
      <c r="D555" s="52"/>
      <c r="E555" s="52"/>
      <c r="F555" s="58"/>
      <c r="G555" s="58"/>
      <c r="H555" s="58"/>
      <c r="I555" s="58"/>
      <c r="J555" s="58"/>
      <c r="K555" s="58"/>
      <c r="L555" s="58"/>
      <c r="M555" s="58"/>
      <c r="N555" s="58"/>
      <c r="O555" s="58"/>
    </row>
    <row r="556">
      <c r="A556" s="95"/>
      <c r="B556" s="95"/>
      <c r="C556" s="52"/>
      <c r="D556" s="52"/>
      <c r="E556" s="52"/>
      <c r="F556" s="58"/>
      <c r="G556" s="58"/>
      <c r="H556" s="58"/>
      <c r="I556" s="58"/>
      <c r="J556" s="58"/>
      <c r="K556" s="58"/>
      <c r="L556" s="58"/>
      <c r="M556" s="58"/>
      <c r="N556" s="58"/>
      <c r="O556" s="58"/>
    </row>
    <row r="557">
      <c r="A557" s="95"/>
      <c r="B557" s="95"/>
      <c r="C557" s="52"/>
      <c r="D557" s="52"/>
      <c r="E557" s="52"/>
      <c r="F557" s="58"/>
      <c r="G557" s="58"/>
      <c r="H557" s="58"/>
      <c r="I557" s="58"/>
      <c r="J557" s="58"/>
      <c r="K557" s="58"/>
      <c r="L557" s="58"/>
      <c r="M557" s="58"/>
      <c r="N557" s="58"/>
      <c r="O557" s="58"/>
    </row>
    <row r="558">
      <c r="A558" s="95"/>
      <c r="B558" s="95"/>
      <c r="C558" s="52"/>
      <c r="D558" s="52"/>
      <c r="E558" s="52"/>
      <c r="F558" s="58"/>
      <c r="G558" s="58"/>
      <c r="H558" s="58"/>
      <c r="I558" s="58"/>
      <c r="J558" s="58"/>
      <c r="K558" s="58"/>
      <c r="L558" s="58"/>
      <c r="M558" s="58"/>
      <c r="N558" s="58"/>
      <c r="O558" s="58"/>
    </row>
    <row r="559">
      <c r="A559" s="95"/>
      <c r="B559" s="95"/>
      <c r="C559" s="52"/>
      <c r="D559" s="52"/>
      <c r="E559" s="52"/>
      <c r="F559" s="58"/>
      <c r="G559" s="58"/>
      <c r="H559" s="58"/>
      <c r="I559" s="58"/>
      <c r="J559" s="58"/>
      <c r="K559" s="58"/>
      <c r="L559" s="58"/>
      <c r="M559" s="58"/>
      <c r="N559" s="58"/>
      <c r="O559" s="58"/>
    </row>
    <row r="560">
      <c r="A560" s="95"/>
      <c r="B560" s="95"/>
      <c r="C560" s="52"/>
      <c r="D560" s="52"/>
      <c r="E560" s="52"/>
      <c r="F560" s="58"/>
      <c r="G560" s="58"/>
      <c r="H560" s="58"/>
      <c r="I560" s="58"/>
      <c r="J560" s="58"/>
      <c r="K560" s="58"/>
      <c r="L560" s="58"/>
      <c r="M560" s="58"/>
      <c r="N560" s="58"/>
      <c r="O560" s="58"/>
    </row>
    <row r="561">
      <c r="A561" s="95"/>
      <c r="B561" s="95"/>
      <c r="C561" s="52"/>
      <c r="D561" s="52"/>
      <c r="E561" s="52"/>
      <c r="F561" s="58"/>
      <c r="G561" s="58"/>
      <c r="H561" s="58"/>
      <c r="I561" s="58"/>
      <c r="J561" s="58"/>
      <c r="K561" s="58"/>
      <c r="L561" s="58"/>
      <c r="M561" s="58"/>
      <c r="N561" s="58"/>
      <c r="O561" s="58"/>
    </row>
    <row r="562">
      <c r="A562" s="95"/>
      <c r="B562" s="95"/>
      <c r="C562" s="52"/>
      <c r="D562" s="52"/>
      <c r="E562" s="52"/>
      <c r="F562" s="58"/>
      <c r="G562" s="58"/>
      <c r="H562" s="58"/>
      <c r="I562" s="58"/>
      <c r="J562" s="58"/>
      <c r="K562" s="58"/>
      <c r="L562" s="58"/>
      <c r="M562" s="58"/>
      <c r="N562" s="58"/>
      <c r="O562" s="58"/>
    </row>
    <row r="563">
      <c r="A563" s="95"/>
      <c r="B563" s="95"/>
      <c r="C563" s="52"/>
      <c r="D563" s="52"/>
      <c r="E563" s="52"/>
      <c r="F563" s="58"/>
      <c r="G563" s="58"/>
      <c r="H563" s="58"/>
      <c r="I563" s="58"/>
      <c r="J563" s="58"/>
      <c r="K563" s="58"/>
      <c r="L563" s="58"/>
      <c r="M563" s="58"/>
      <c r="N563" s="58"/>
      <c r="O563" s="58"/>
    </row>
    <row r="564">
      <c r="A564" s="95"/>
      <c r="B564" s="95"/>
      <c r="C564" s="52"/>
      <c r="D564" s="52"/>
      <c r="E564" s="52"/>
      <c r="F564" s="58"/>
      <c r="G564" s="58"/>
      <c r="H564" s="58"/>
      <c r="I564" s="58"/>
      <c r="J564" s="58"/>
      <c r="K564" s="58"/>
      <c r="L564" s="58"/>
      <c r="M564" s="58"/>
      <c r="N564" s="58"/>
      <c r="O564" s="58"/>
    </row>
    <row r="565">
      <c r="A565" s="95"/>
      <c r="B565" s="95"/>
      <c r="C565" s="52"/>
      <c r="D565" s="52"/>
      <c r="E565" s="52"/>
      <c r="F565" s="58"/>
      <c r="G565" s="58"/>
      <c r="H565" s="58"/>
      <c r="I565" s="58"/>
      <c r="J565" s="58"/>
      <c r="K565" s="58"/>
      <c r="L565" s="58"/>
      <c r="M565" s="58"/>
      <c r="N565" s="58"/>
      <c r="O565" s="58"/>
    </row>
    <row r="566">
      <c r="A566" s="95"/>
      <c r="B566" s="95"/>
      <c r="C566" s="52"/>
      <c r="D566" s="52"/>
      <c r="E566" s="52"/>
      <c r="F566" s="58"/>
      <c r="G566" s="58"/>
      <c r="H566" s="58"/>
      <c r="I566" s="58"/>
      <c r="J566" s="58"/>
      <c r="K566" s="58"/>
      <c r="L566" s="58"/>
      <c r="M566" s="58"/>
      <c r="N566" s="58"/>
      <c r="O566" s="58"/>
    </row>
    <row r="567">
      <c r="A567" s="95"/>
      <c r="B567" s="95"/>
      <c r="C567" s="52"/>
      <c r="D567" s="52"/>
      <c r="E567" s="52"/>
      <c r="F567" s="58"/>
      <c r="G567" s="58"/>
      <c r="H567" s="58"/>
      <c r="I567" s="58"/>
      <c r="J567" s="58"/>
      <c r="K567" s="58"/>
      <c r="L567" s="58"/>
      <c r="M567" s="58"/>
      <c r="N567" s="58"/>
      <c r="O567" s="58"/>
    </row>
    <row r="568">
      <c r="A568" s="95"/>
      <c r="B568" s="95"/>
      <c r="C568" s="52"/>
      <c r="D568" s="52"/>
      <c r="E568" s="52"/>
      <c r="F568" s="58"/>
      <c r="G568" s="58"/>
      <c r="H568" s="58"/>
      <c r="I568" s="58"/>
      <c r="J568" s="58"/>
      <c r="K568" s="58"/>
      <c r="L568" s="58"/>
      <c r="M568" s="58"/>
      <c r="N568" s="58"/>
      <c r="O568" s="58"/>
    </row>
    <row r="569">
      <c r="A569" s="95"/>
      <c r="B569" s="95"/>
      <c r="C569" s="52"/>
      <c r="D569" s="52"/>
      <c r="E569" s="52"/>
      <c r="F569" s="58"/>
      <c r="G569" s="58"/>
      <c r="H569" s="58"/>
      <c r="I569" s="58"/>
      <c r="J569" s="58"/>
      <c r="K569" s="58"/>
      <c r="L569" s="58"/>
      <c r="M569" s="58"/>
      <c r="N569" s="58"/>
      <c r="O569" s="58"/>
    </row>
    <row r="570">
      <c r="A570" s="95"/>
      <c r="B570" s="95"/>
      <c r="C570" s="52"/>
      <c r="D570" s="52"/>
      <c r="E570" s="52"/>
      <c r="F570" s="58"/>
      <c r="G570" s="58"/>
      <c r="H570" s="58"/>
      <c r="I570" s="58"/>
      <c r="J570" s="58"/>
      <c r="K570" s="58"/>
      <c r="L570" s="58"/>
      <c r="M570" s="58"/>
      <c r="N570" s="58"/>
      <c r="O570" s="58"/>
    </row>
    <row r="571">
      <c r="A571" s="95"/>
      <c r="B571" s="95"/>
      <c r="C571" s="52"/>
      <c r="D571" s="52"/>
      <c r="E571" s="52"/>
      <c r="F571" s="58"/>
      <c r="G571" s="58"/>
      <c r="H571" s="58"/>
      <c r="I571" s="58"/>
      <c r="J571" s="58"/>
      <c r="K571" s="58"/>
      <c r="L571" s="58"/>
      <c r="M571" s="58"/>
      <c r="N571" s="58"/>
      <c r="O571" s="58"/>
    </row>
    <row r="572">
      <c r="A572" s="95"/>
      <c r="B572" s="95"/>
      <c r="C572" s="52"/>
      <c r="D572" s="52"/>
      <c r="E572" s="52"/>
      <c r="F572" s="58"/>
      <c r="G572" s="58"/>
      <c r="H572" s="58"/>
      <c r="I572" s="58"/>
      <c r="J572" s="58"/>
      <c r="K572" s="58"/>
      <c r="L572" s="58"/>
      <c r="M572" s="58"/>
      <c r="N572" s="58"/>
      <c r="O572" s="58"/>
    </row>
    <row r="573">
      <c r="A573" s="95"/>
      <c r="B573" s="95"/>
      <c r="C573" s="52"/>
      <c r="D573" s="52"/>
      <c r="E573" s="52"/>
      <c r="F573" s="58"/>
      <c r="G573" s="58"/>
      <c r="H573" s="58"/>
      <c r="I573" s="58"/>
      <c r="J573" s="58"/>
      <c r="K573" s="58"/>
      <c r="L573" s="58"/>
      <c r="M573" s="58"/>
      <c r="N573" s="58"/>
      <c r="O573" s="58"/>
    </row>
    <row r="574">
      <c r="A574" s="95"/>
      <c r="B574" s="95"/>
      <c r="C574" s="52"/>
      <c r="D574" s="52"/>
      <c r="E574" s="52"/>
      <c r="F574" s="58"/>
      <c r="G574" s="58"/>
      <c r="H574" s="58"/>
      <c r="I574" s="58"/>
      <c r="J574" s="58"/>
      <c r="K574" s="58"/>
      <c r="L574" s="58"/>
      <c r="M574" s="58"/>
      <c r="N574" s="58"/>
      <c r="O574" s="58"/>
    </row>
    <row r="575">
      <c r="A575" s="95"/>
      <c r="B575" s="95"/>
      <c r="C575" s="52"/>
      <c r="D575" s="52"/>
      <c r="E575" s="52"/>
      <c r="F575" s="58"/>
      <c r="G575" s="58"/>
      <c r="H575" s="58"/>
      <c r="I575" s="58"/>
      <c r="J575" s="58"/>
      <c r="K575" s="58"/>
      <c r="L575" s="58"/>
      <c r="M575" s="58"/>
      <c r="N575" s="58"/>
      <c r="O575" s="58"/>
    </row>
    <row r="576">
      <c r="A576" s="95"/>
      <c r="B576" s="95"/>
      <c r="C576" s="52"/>
      <c r="D576" s="52"/>
      <c r="E576" s="52"/>
      <c r="F576" s="58"/>
      <c r="G576" s="58"/>
      <c r="H576" s="58"/>
      <c r="I576" s="58"/>
      <c r="J576" s="58"/>
      <c r="K576" s="58"/>
      <c r="L576" s="58"/>
      <c r="M576" s="58"/>
      <c r="N576" s="58"/>
      <c r="O576" s="58"/>
    </row>
    <row r="577">
      <c r="A577" s="95"/>
      <c r="B577" s="95"/>
      <c r="C577" s="52"/>
      <c r="D577" s="52"/>
      <c r="E577" s="52"/>
      <c r="F577" s="58"/>
      <c r="G577" s="58"/>
      <c r="H577" s="58"/>
      <c r="I577" s="58"/>
      <c r="J577" s="58"/>
      <c r="K577" s="58"/>
      <c r="L577" s="58"/>
      <c r="M577" s="58"/>
      <c r="N577" s="58"/>
      <c r="O577" s="58"/>
    </row>
    <row r="578">
      <c r="A578" s="95"/>
      <c r="B578" s="95"/>
      <c r="C578" s="52"/>
      <c r="D578" s="52"/>
      <c r="E578" s="52"/>
      <c r="F578" s="58"/>
      <c r="G578" s="58"/>
      <c r="H578" s="58"/>
      <c r="I578" s="58"/>
      <c r="J578" s="58"/>
      <c r="K578" s="58"/>
      <c r="L578" s="58"/>
      <c r="M578" s="58"/>
      <c r="N578" s="58"/>
      <c r="O578" s="58"/>
    </row>
    <row r="579">
      <c r="A579" s="95"/>
      <c r="B579" s="95"/>
      <c r="C579" s="52"/>
      <c r="D579" s="52"/>
      <c r="E579" s="52"/>
      <c r="F579" s="58"/>
      <c r="G579" s="58"/>
      <c r="H579" s="58"/>
      <c r="I579" s="58"/>
      <c r="J579" s="58"/>
      <c r="K579" s="58"/>
      <c r="L579" s="58"/>
      <c r="M579" s="58"/>
      <c r="N579" s="58"/>
      <c r="O579" s="58"/>
    </row>
    <row r="580">
      <c r="A580" s="95"/>
      <c r="B580" s="95"/>
      <c r="C580" s="52"/>
      <c r="D580" s="52"/>
      <c r="E580" s="52"/>
      <c r="F580" s="58"/>
      <c r="G580" s="58"/>
      <c r="H580" s="58"/>
      <c r="I580" s="58"/>
      <c r="J580" s="58"/>
      <c r="K580" s="58"/>
      <c r="L580" s="58"/>
      <c r="M580" s="58"/>
      <c r="N580" s="58"/>
      <c r="O580" s="58"/>
    </row>
    <row r="581">
      <c r="A581" s="95"/>
      <c r="B581" s="95"/>
      <c r="C581" s="52"/>
      <c r="D581" s="52"/>
      <c r="E581" s="52"/>
      <c r="F581" s="58"/>
      <c r="G581" s="58"/>
      <c r="H581" s="58"/>
      <c r="I581" s="58"/>
      <c r="J581" s="58"/>
      <c r="K581" s="58"/>
      <c r="L581" s="58"/>
      <c r="M581" s="58"/>
      <c r="N581" s="58"/>
      <c r="O581" s="58"/>
    </row>
    <row r="582">
      <c r="A582" s="95"/>
      <c r="B582" s="95"/>
      <c r="C582" s="52"/>
      <c r="D582" s="52"/>
      <c r="E582" s="52"/>
      <c r="F582" s="58"/>
      <c r="G582" s="58"/>
      <c r="H582" s="58"/>
      <c r="I582" s="58"/>
      <c r="J582" s="58"/>
      <c r="K582" s="58"/>
      <c r="L582" s="58"/>
      <c r="M582" s="58"/>
      <c r="N582" s="58"/>
      <c r="O582" s="58"/>
    </row>
    <row r="583">
      <c r="A583" s="95"/>
      <c r="B583" s="95"/>
      <c r="C583" s="52"/>
      <c r="D583" s="52"/>
      <c r="E583" s="52"/>
      <c r="F583" s="58"/>
      <c r="G583" s="58"/>
      <c r="H583" s="58"/>
      <c r="I583" s="58"/>
      <c r="J583" s="58"/>
      <c r="K583" s="58"/>
      <c r="L583" s="58"/>
      <c r="M583" s="58"/>
      <c r="N583" s="58"/>
      <c r="O583" s="58"/>
    </row>
    <row r="584">
      <c r="A584" s="95"/>
      <c r="B584" s="95"/>
      <c r="C584" s="52"/>
      <c r="D584" s="52"/>
      <c r="E584" s="52"/>
      <c r="F584" s="58"/>
      <c r="G584" s="58"/>
      <c r="H584" s="58"/>
      <c r="I584" s="58"/>
      <c r="J584" s="58"/>
      <c r="K584" s="58"/>
      <c r="L584" s="58"/>
      <c r="M584" s="58"/>
      <c r="N584" s="58"/>
      <c r="O584" s="58"/>
    </row>
    <row r="585">
      <c r="A585" s="95"/>
      <c r="B585" s="95"/>
      <c r="C585" s="52"/>
      <c r="D585" s="52"/>
      <c r="E585" s="52"/>
      <c r="F585" s="58"/>
      <c r="G585" s="58"/>
      <c r="H585" s="58"/>
      <c r="I585" s="58"/>
      <c r="J585" s="58"/>
      <c r="K585" s="58"/>
      <c r="L585" s="58"/>
      <c r="M585" s="58"/>
      <c r="N585" s="58"/>
      <c r="O585" s="58"/>
    </row>
    <row r="586">
      <c r="A586" s="95"/>
      <c r="B586" s="95"/>
      <c r="C586" s="52"/>
      <c r="D586" s="52"/>
      <c r="E586" s="52"/>
      <c r="F586" s="58"/>
      <c r="G586" s="58"/>
      <c r="H586" s="58"/>
      <c r="I586" s="58"/>
      <c r="J586" s="58"/>
      <c r="K586" s="58"/>
      <c r="L586" s="58"/>
      <c r="M586" s="58"/>
      <c r="N586" s="58"/>
      <c r="O586" s="58"/>
    </row>
    <row r="587">
      <c r="A587" s="95"/>
      <c r="B587" s="95"/>
      <c r="C587" s="52"/>
      <c r="D587" s="52"/>
      <c r="E587" s="52"/>
      <c r="F587" s="58"/>
      <c r="G587" s="58"/>
      <c r="H587" s="58"/>
      <c r="I587" s="58"/>
      <c r="J587" s="58"/>
      <c r="K587" s="58"/>
      <c r="L587" s="58"/>
      <c r="M587" s="58"/>
      <c r="N587" s="58"/>
      <c r="O587" s="58"/>
    </row>
    <row r="588">
      <c r="A588" s="95"/>
      <c r="B588" s="95"/>
      <c r="C588" s="52"/>
      <c r="D588" s="52"/>
      <c r="E588" s="52"/>
      <c r="F588" s="58"/>
      <c r="G588" s="58"/>
      <c r="H588" s="58"/>
      <c r="I588" s="58"/>
      <c r="J588" s="58"/>
      <c r="K588" s="58"/>
      <c r="L588" s="58"/>
      <c r="M588" s="58"/>
      <c r="N588" s="58"/>
      <c r="O588" s="58"/>
    </row>
    <row r="589">
      <c r="A589" s="95"/>
      <c r="B589" s="95"/>
      <c r="C589" s="52"/>
      <c r="D589" s="52"/>
      <c r="E589" s="52"/>
      <c r="F589" s="58"/>
      <c r="G589" s="58"/>
      <c r="H589" s="58"/>
      <c r="I589" s="58"/>
      <c r="J589" s="58"/>
      <c r="K589" s="58"/>
      <c r="L589" s="58"/>
      <c r="M589" s="58"/>
      <c r="N589" s="58"/>
      <c r="O589" s="58"/>
    </row>
    <row r="590">
      <c r="A590" s="95"/>
      <c r="B590" s="95"/>
      <c r="C590" s="52"/>
      <c r="D590" s="52"/>
      <c r="E590" s="52"/>
      <c r="F590" s="58"/>
      <c r="G590" s="58"/>
      <c r="H590" s="58"/>
      <c r="I590" s="58"/>
      <c r="J590" s="58"/>
      <c r="K590" s="58"/>
      <c r="L590" s="58"/>
      <c r="M590" s="58"/>
      <c r="N590" s="58"/>
      <c r="O590" s="58"/>
    </row>
    <row r="591">
      <c r="A591" s="95"/>
      <c r="B591" s="95"/>
      <c r="C591" s="52"/>
      <c r="D591" s="52"/>
      <c r="E591" s="52"/>
      <c r="F591" s="58"/>
      <c r="G591" s="58"/>
      <c r="H591" s="58"/>
      <c r="I591" s="58"/>
      <c r="J591" s="58"/>
      <c r="K591" s="58"/>
      <c r="L591" s="58"/>
      <c r="M591" s="58"/>
      <c r="N591" s="58"/>
      <c r="O591" s="58"/>
    </row>
    <row r="592">
      <c r="A592" s="95"/>
      <c r="B592" s="95"/>
      <c r="C592" s="52"/>
      <c r="D592" s="52"/>
      <c r="E592" s="52"/>
      <c r="F592" s="58"/>
      <c r="G592" s="58"/>
      <c r="H592" s="58"/>
      <c r="I592" s="58"/>
      <c r="J592" s="58"/>
      <c r="K592" s="58"/>
      <c r="L592" s="58"/>
      <c r="M592" s="58"/>
      <c r="N592" s="58"/>
      <c r="O592" s="58"/>
    </row>
    <row r="593">
      <c r="A593" s="95"/>
      <c r="B593" s="95"/>
      <c r="C593" s="52"/>
      <c r="D593" s="52"/>
      <c r="E593" s="52"/>
      <c r="F593" s="58"/>
      <c r="G593" s="58"/>
      <c r="H593" s="58"/>
      <c r="I593" s="58"/>
      <c r="J593" s="58"/>
      <c r="K593" s="58"/>
      <c r="L593" s="58"/>
      <c r="M593" s="58"/>
      <c r="N593" s="58"/>
      <c r="O593" s="58"/>
    </row>
    <row r="594">
      <c r="A594" s="95"/>
      <c r="B594" s="95"/>
      <c r="C594" s="52"/>
      <c r="D594" s="52"/>
      <c r="E594" s="52"/>
      <c r="F594" s="58"/>
      <c r="G594" s="58"/>
      <c r="H594" s="58"/>
      <c r="I594" s="58"/>
      <c r="J594" s="58"/>
      <c r="K594" s="58"/>
      <c r="L594" s="58"/>
      <c r="M594" s="58"/>
      <c r="N594" s="58"/>
      <c r="O594" s="58"/>
    </row>
    <row r="595">
      <c r="A595" s="95"/>
      <c r="B595" s="95"/>
      <c r="C595" s="52"/>
      <c r="D595" s="52"/>
      <c r="E595" s="52"/>
      <c r="F595" s="58"/>
      <c r="G595" s="58"/>
      <c r="H595" s="58"/>
      <c r="I595" s="58"/>
      <c r="J595" s="58"/>
      <c r="K595" s="58"/>
      <c r="L595" s="58"/>
      <c r="M595" s="58"/>
      <c r="N595" s="58"/>
      <c r="O595" s="58"/>
    </row>
    <row r="596">
      <c r="A596" s="95"/>
      <c r="B596" s="95"/>
      <c r="C596" s="52"/>
      <c r="D596" s="52"/>
      <c r="E596" s="52"/>
      <c r="F596" s="58"/>
      <c r="G596" s="58"/>
      <c r="H596" s="58"/>
      <c r="I596" s="58"/>
      <c r="J596" s="58"/>
      <c r="K596" s="58"/>
      <c r="L596" s="58"/>
      <c r="M596" s="58"/>
      <c r="N596" s="58"/>
      <c r="O596" s="58"/>
    </row>
    <row r="597">
      <c r="A597" s="95"/>
      <c r="B597" s="95"/>
      <c r="C597" s="52"/>
      <c r="D597" s="52"/>
      <c r="E597" s="52"/>
      <c r="F597" s="58"/>
      <c r="G597" s="58"/>
      <c r="H597" s="58"/>
      <c r="I597" s="58"/>
      <c r="J597" s="58"/>
      <c r="K597" s="58"/>
      <c r="L597" s="58"/>
      <c r="M597" s="58"/>
      <c r="N597" s="58"/>
      <c r="O597" s="58"/>
    </row>
    <row r="598">
      <c r="A598" s="95"/>
      <c r="B598" s="95"/>
      <c r="C598" s="52"/>
      <c r="D598" s="52"/>
      <c r="E598" s="52"/>
      <c r="F598" s="58"/>
      <c r="G598" s="58"/>
      <c r="H598" s="58"/>
      <c r="I598" s="58"/>
      <c r="J598" s="58"/>
      <c r="K598" s="58"/>
      <c r="L598" s="58"/>
      <c r="M598" s="58"/>
      <c r="N598" s="58"/>
      <c r="O598" s="58"/>
    </row>
    <row r="599">
      <c r="A599" s="95"/>
      <c r="B599" s="95"/>
      <c r="C599" s="52"/>
      <c r="D599" s="52"/>
      <c r="E599" s="52"/>
      <c r="F599" s="58"/>
      <c r="G599" s="58"/>
      <c r="H599" s="58"/>
      <c r="I599" s="58"/>
      <c r="J599" s="58"/>
      <c r="K599" s="58"/>
      <c r="L599" s="58"/>
      <c r="M599" s="58"/>
      <c r="N599" s="58"/>
      <c r="O599" s="58"/>
    </row>
    <row r="600">
      <c r="A600" s="95"/>
      <c r="B600" s="95"/>
      <c r="C600" s="52"/>
      <c r="D600" s="52"/>
      <c r="E600" s="52"/>
      <c r="F600" s="58"/>
      <c r="G600" s="58"/>
      <c r="H600" s="58"/>
      <c r="I600" s="58"/>
      <c r="J600" s="58"/>
      <c r="K600" s="58"/>
      <c r="L600" s="58"/>
      <c r="M600" s="58"/>
      <c r="N600" s="58"/>
      <c r="O600" s="58"/>
    </row>
    <row r="601">
      <c r="A601" s="95"/>
      <c r="B601" s="95"/>
      <c r="C601" s="52"/>
      <c r="D601" s="52"/>
      <c r="E601" s="52"/>
      <c r="F601" s="58"/>
      <c r="G601" s="58"/>
      <c r="H601" s="58"/>
      <c r="I601" s="58"/>
      <c r="J601" s="58"/>
      <c r="K601" s="58"/>
      <c r="L601" s="58"/>
      <c r="M601" s="58"/>
      <c r="N601" s="58"/>
      <c r="O601" s="58"/>
    </row>
    <row r="602">
      <c r="A602" s="95"/>
      <c r="B602" s="95"/>
      <c r="C602" s="52"/>
      <c r="D602" s="52"/>
      <c r="E602" s="52"/>
      <c r="F602" s="58"/>
      <c r="G602" s="58"/>
      <c r="H602" s="58"/>
      <c r="I602" s="58"/>
      <c r="J602" s="58"/>
      <c r="K602" s="58"/>
      <c r="L602" s="58"/>
      <c r="M602" s="58"/>
      <c r="N602" s="58"/>
      <c r="O602" s="58"/>
    </row>
    <row r="603">
      <c r="A603" s="95"/>
      <c r="B603" s="95"/>
      <c r="C603" s="52"/>
      <c r="D603" s="52"/>
      <c r="E603" s="52"/>
      <c r="F603" s="58"/>
      <c r="G603" s="58"/>
      <c r="H603" s="58"/>
      <c r="I603" s="58"/>
      <c r="J603" s="58"/>
      <c r="K603" s="58"/>
      <c r="L603" s="58"/>
      <c r="M603" s="58"/>
      <c r="N603" s="58"/>
      <c r="O603" s="58"/>
    </row>
    <row r="604">
      <c r="A604" s="95"/>
      <c r="B604" s="95"/>
      <c r="C604" s="52"/>
      <c r="D604" s="52"/>
      <c r="E604" s="52"/>
      <c r="F604" s="58"/>
      <c r="G604" s="58"/>
      <c r="H604" s="58"/>
      <c r="I604" s="58"/>
      <c r="J604" s="58"/>
      <c r="K604" s="58"/>
      <c r="L604" s="58"/>
      <c r="M604" s="58"/>
      <c r="N604" s="58"/>
      <c r="O604" s="58"/>
    </row>
    <row r="605">
      <c r="A605" s="95"/>
      <c r="B605" s="95"/>
      <c r="C605" s="52"/>
      <c r="D605" s="52"/>
      <c r="E605" s="52"/>
      <c r="F605" s="58"/>
      <c r="G605" s="58"/>
      <c r="H605" s="58"/>
      <c r="I605" s="58"/>
      <c r="J605" s="58"/>
      <c r="K605" s="58"/>
      <c r="L605" s="58"/>
      <c r="M605" s="58"/>
      <c r="N605" s="58"/>
      <c r="O605" s="58"/>
    </row>
    <row r="606">
      <c r="A606" s="95"/>
      <c r="B606" s="95"/>
      <c r="C606" s="52"/>
      <c r="D606" s="52"/>
      <c r="E606" s="52"/>
      <c r="F606" s="58"/>
      <c r="G606" s="58"/>
      <c r="H606" s="58"/>
      <c r="I606" s="58"/>
      <c r="J606" s="58"/>
      <c r="K606" s="58"/>
      <c r="L606" s="58"/>
      <c r="M606" s="58"/>
      <c r="N606" s="58"/>
      <c r="O606" s="58"/>
    </row>
    <row r="607">
      <c r="A607" s="95"/>
      <c r="B607" s="95"/>
      <c r="C607" s="52"/>
      <c r="D607" s="52"/>
      <c r="E607" s="52"/>
      <c r="F607" s="58"/>
      <c r="G607" s="58"/>
      <c r="H607" s="58"/>
      <c r="I607" s="58"/>
      <c r="J607" s="58"/>
      <c r="K607" s="58"/>
      <c r="L607" s="58"/>
      <c r="M607" s="58"/>
      <c r="N607" s="58"/>
      <c r="O607" s="58"/>
    </row>
    <row r="608">
      <c r="A608" s="95"/>
      <c r="B608" s="95"/>
      <c r="C608" s="52"/>
      <c r="D608" s="52"/>
      <c r="E608" s="52"/>
      <c r="F608" s="58"/>
      <c r="G608" s="58"/>
      <c r="H608" s="58"/>
      <c r="I608" s="58"/>
      <c r="J608" s="58"/>
      <c r="K608" s="58"/>
      <c r="L608" s="58"/>
      <c r="M608" s="58"/>
      <c r="N608" s="58"/>
      <c r="O608" s="58"/>
    </row>
    <row r="609">
      <c r="A609" s="95"/>
      <c r="B609" s="95"/>
      <c r="C609" s="52"/>
      <c r="D609" s="52"/>
      <c r="E609" s="52"/>
      <c r="F609" s="58"/>
      <c r="G609" s="58"/>
      <c r="H609" s="58"/>
      <c r="I609" s="58"/>
      <c r="J609" s="58"/>
      <c r="K609" s="58"/>
      <c r="L609" s="58"/>
      <c r="M609" s="58"/>
      <c r="N609" s="58"/>
      <c r="O609" s="58"/>
    </row>
    <row r="610">
      <c r="A610" s="95"/>
      <c r="B610" s="95"/>
      <c r="C610" s="52"/>
      <c r="D610" s="52"/>
      <c r="E610" s="52"/>
      <c r="F610" s="58"/>
      <c r="G610" s="58"/>
      <c r="H610" s="58"/>
      <c r="I610" s="58"/>
      <c r="J610" s="58"/>
      <c r="K610" s="58"/>
      <c r="L610" s="58"/>
      <c r="M610" s="58"/>
      <c r="N610" s="58"/>
      <c r="O610" s="58"/>
    </row>
    <row r="611">
      <c r="A611" s="95"/>
      <c r="B611" s="95"/>
      <c r="C611" s="52"/>
      <c r="D611" s="52"/>
      <c r="E611" s="52"/>
      <c r="F611" s="58"/>
      <c r="G611" s="58"/>
      <c r="H611" s="58"/>
      <c r="I611" s="58"/>
      <c r="J611" s="58"/>
      <c r="K611" s="58"/>
      <c r="L611" s="58"/>
      <c r="M611" s="58"/>
      <c r="N611" s="58"/>
      <c r="O611" s="58"/>
    </row>
    <row r="612">
      <c r="A612" s="95"/>
      <c r="B612" s="95"/>
      <c r="C612" s="52"/>
      <c r="D612" s="52"/>
      <c r="E612" s="52"/>
      <c r="F612" s="58"/>
      <c r="G612" s="58"/>
      <c r="H612" s="58"/>
      <c r="I612" s="58"/>
      <c r="J612" s="58"/>
      <c r="K612" s="58"/>
      <c r="L612" s="58"/>
      <c r="M612" s="58"/>
      <c r="N612" s="58"/>
      <c r="O612" s="58"/>
    </row>
    <row r="613">
      <c r="A613" s="95"/>
      <c r="B613" s="95"/>
      <c r="C613" s="52"/>
      <c r="D613" s="52"/>
      <c r="E613" s="52"/>
      <c r="F613" s="58"/>
      <c r="G613" s="58"/>
      <c r="H613" s="58"/>
      <c r="I613" s="58"/>
      <c r="J613" s="58"/>
      <c r="K613" s="58"/>
      <c r="L613" s="58"/>
      <c r="M613" s="58"/>
      <c r="N613" s="58"/>
      <c r="O613" s="58"/>
    </row>
    <row r="614">
      <c r="A614" s="95"/>
      <c r="B614" s="95"/>
      <c r="C614" s="52"/>
      <c r="D614" s="52"/>
      <c r="E614" s="52"/>
      <c r="F614" s="58"/>
      <c r="G614" s="58"/>
      <c r="H614" s="58"/>
      <c r="I614" s="58"/>
      <c r="J614" s="58"/>
      <c r="K614" s="58"/>
      <c r="L614" s="58"/>
      <c r="M614" s="58"/>
      <c r="N614" s="58"/>
      <c r="O614" s="58"/>
    </row>
    <row r="615">
      <c r="A615" s="95"/>
      <c r="B615" s="95"/>
      <c r="C615" s="52"/>
      <c r="D615" s="52"/>
      <c r="E615" s="52"/>
      <c r="F615" s="58"/>
      <c r="G615" s="58"/>
      <c r="H615" s="58"/>
      <c r="I615" s="58"/>
      <c r="J615" s="58"/>
      <c r="K615" s="58"/>
      <c r="L615" s="58"/>
      <c r="M615" s="58"/>
      <c r="N615" s="58"/>
      <c r="O615" s="58"/>
    </row>
    <row r="616">
      <c r="A616" s="95"/>
      <c r="B616" s="95"/>
      <c r="C616" s="52"/>
      <c r="D616" s="52"/>
      <c r="E616" s="52"/>
      <c r="F616" s="58"/>
      <c r="G616" s="58"/>
      <c r="H616" s="58"/>
      <c r="I616" s="58"/>
      <c r="J616" s="58"/>
      <c r="K616" s="58"/>
      <c r="L616" s="58"/>
      <c r="M616" s="58"/>
      <c r="N616" s="58"/>
      <c r="O616" s="58"/>
    </row>
    <row r="617">
      <c r="A617" s="95"/>
      <c r="B617" s="95"/>
      <c r="C617" s="52"/>
      <c r="D617" s="52"/>
      <c r="E617" s="52"/>
      <c r="F617" s="58"/>
      <c r="G617" s="58"/>
      <c r="H617" s="58"/>
      <c r="I617" s="58"/>
      <c r="J617" s="58"/>
      <c r="K617" s="58"/>
      <c r="L617" s="58"/>
      <c r="M617" s="58"/>
      <c r="N617" s="58"/>
      <c r="O617" s="58"/>
    </row>
    <row r="618">
      <c r="A618" s="95"/>
      <c r="B618" s="95"/>
      <c r="C618" s="52"/>
      <c r="D618" s="52"/>
      <c r="E618" s="52"/>
      <c r="F618" s="58"/>
      <c r="G618" s="58"/>
      <c r="H618" s="58"/>
      <c r="I618" s="58"/>
      <c r="J618" s="58"/>
      <c r="K618" s="58"/>
      <c r="L618" s="58"/>
      <c r="M618" s="58"/>
      <c r="N618" s="58"/>
      <c r="O618" s="58"/>
    </row>
    <row r="619">
      <c r="A619" s="95"/>
      <c r="B619" s="95"/>
      <c r="C619" s="52"/>
      <c r="D619" s="52"/>
      <c r="E619" s="52"/>
      <c r="F619" s="58"/>
      <c r="G619" s="58"/>
      <c r="H619" s="58"/>
      <c r="I619" s="58"/>
      <c r="J619" s="58"/>
      <c r="K619" s="58"/>
      <c r="L619" s="58"/>
      <c r="M619" s="58"/>
      <c r="N619" s="58"/>
      <c r="O619" s="58"/>
    </row>
    <row r="620">
      <c r="A620" s="95"/>
      <c r="B620" s="95"/>
      <c r="C620" s="52"/>
      <c r="D620" s="52"/>
      <c r="E620" s="52"/>
      <c r="F620" s="58"/>
      <c r="G620" s="58"/>
      <c r="H620" s="58"/>
      <c r="I620" s="58"/>
      <c r="J620" s="58"/>
      <c r="K620" s="58"/>
      <c r="L620" s="58"/>
      <c r="M620" s="58"/>
      <c r="N620" s="58"/>
      <c r="O620" s="58"/>
    </row>
    <row r="621">
      <c r="A621" s="95"/>
      <c r="B621" s="95"/>
      <c r="C621" s="52"/>
      <c r="D621" s="52"/>
      <c r="E621" s="52"/>
      <c r="F621" s="58"/>
      <c r="G621" s="58"/>
      <c r="H621" s="58"/>
      <c r="I621" s="58"/>
      <c r="J621" s="58"/>
      <c r="K621" s="58"/>
      <c r="L621" s="58"/>
      <c r="M621" s="58"/>
      <c r="N621" s="58"/>
      <c r="O621" s="58"/>
    </row>
    <row r="622">
      <c r="A622" s="95"/>
      <c r="B622" s="95"/>
      <c r="C622" s="52"/>
      <c r="D622" s="52"/>
      <c r="E622" s="52"/>
      <c r="F622" s="58"/>
      <c r="G622" s="58"/>
      <c r="H622" s="58"/>
      <c r="I622" s="58"/>
      <c r="J622" s="58"/>
      <c r="K622" s="58"/>
      <c r="L622" s="58"/>
      <c r="M622" s="58"/>
      <c r="N622" s="58"/>
      <c r="O622" s="58"/>
    </row>
    <row r="623">
      <c r="A623" s="95"/>
      <c r="B623" s="95"/>
      <c r="C623" s="52"/>
      <c r="D623" s="52"/>
      <c r="E623" s="52"/>
      <c r="F623" s="58"/>
      <c r="G623" s="58"/>
      <c r="H623" s="58"/>
      <c r="I623" s="58"/>
      <c r="J623" s="58"/>
      <c r="K623" s="58"/>
      <c r="L623" s="58"/>
      <c r="M623" s="58"/>
      <c r="N623" s="58"/>
      <c r="O623" s="58"/>
    </row>
    <row r="624">
      <c r="A624" s="95"/>
      <c r="B624" s="95"/>
      <c r="C624" s="52"/>
      <c r="D624" s="52"/>
      <c r="E624" s="52"/>
      <c r="F624" s="58"/>
      <c r="G624" s="58"/>
      <c r="H624" s="58"/>
      <c r="I624" s="58"/>
      <c r="J624" s="58"/>
      <c r="K624" s="58"/>
      <c r="L624" s="58"/>
      <c r="M624" s="58"/>
      <c r="N624" s="58"/>
      <c r="O624" s="58"/>
    </row>
    <row r="625">
      <c r="A625" s="95"/>
      <c r="B625" s="95"/>
      <c r="C625" s="52"/>
      <c r="D625" s="52"/>
      <c r="E625" s="52"/>
      <c r="F625" s="58"/>
      <c r="G625" s="58"/>
      <c r="H625" s="58"/>
      <c r="I625" s="58"/>
      <c r="J625" s="58"/>
      <c r="K625" s="58"/>
      <c r="L625" s="58"/>
      <c r="M625" s="58"/>
      <c r="N625" s="58"/>
      <c r="O625" s="58"/>
    </row>
    <row r="626">
      <c r="A626" s="95"/>
      <c r="B626" s="95"/>
      <c r="C626" s="52"/>
      <c r="D626" s="52"/>
      <c r="E626" s="52"/>
      <c r="F626" s="58"/>
      <c r="G626" s="58"/>
      <c r="H626" s="58"/>
      <c r="I626" s="58"/>
      <c r="J626" s="58"/>
      <c r="K626" s="58"/>
      <c r="L626" s="58"/>
      <c r="M626" s="58"/>
      <c r="N626" s="58"/>
      <c r="O626" s="58"/>
    </row>
    <row r="627">
      <c r="A627" s="95"/>
      <c r="B627" s="95"/>
      <c r="C627" s="52"/>
      <c r="D627" s="52"/>
      <c r="E627" s="52"/>
      <c r="F627" s="58"/>
      <c r="G627" s="58"/>
      <c r="H627" s="58"/>
      <c r="I627" s="58"/>
      <c r="J627" s="58"/>
      <c r="K627" s="58"/>
      <c r="L627" s="58"/>
      <c r="M627" s="58"/>
      <c r="N627" s="58"/>
      <c r="O627" s="58"/>
    </row>
    <row r="628">
      <c r="A628" s="95"/>
      <c r="B628" s="95"/>
      <c r="C628" s="52"/>
      <c r="D628" s="52"/>
      <c r="E628" s="52"/>
      <c r="F628" s="58"/>
      <c r="G628" s="58"/>
      <c r="H628" s="58"/>
      <c r="I628" s="58"/>
      <c r="J628" s="58"/>
      <c r="K628" s="58"/>
      <c r="L628" s="58"/>
      <c r="M628" s="58"/>
      <c r="N628" s="58"/>
      <c r="O628" s="58"/>
    </row>
    <row r="629">
      <c r="A629" s="95"/>
      <c r="B629" s="95"/>
      <c r="C629" s="52"/>
      <c r="D629" s="52"/>
      <c r="E629" s="52"/>
      <c r="F629" s="58"/>
      <c r="G629" s="58"/>
      <c r="H629" s="58"/>
      <c r="I629" s="58"/>
      <c r="J629" s="58"/>
      <c r="K629" s="58"/>
      <c r="L629" s="58"/>
      <c r="M629" s="58"/>
      <c r="N629" s="58"/>
      <c r="O629" s="58"/>
    </row>
    <row r="630">
      <c r="A630" s="95"/>
      <c r="B630" s="95"/>
      <c r="C630" s="52"/>
      <c r="D630" s="52"/>
      <c r="E630" s="52"/>
      <c r="F630" s="58"/>
      <c r="G630" s="58"/>
      <c r="H630" s="58"/>
      <c r="I630" s="58"/>
      <c r="J630" s="58"/>
      <c r="K630" s="58"/>
      <c r="L630" s="58"/>
      <c r="M630" s="58"/>
      <c r="N630" s="58"/>
      <c r="O630" s="58"/>
    </row>
    <row r="631">
      <c r="A631" s="95"/>
      <c r="B631" s="95"/>
      <c r="C631" s="52"/>
      <c r="D631" s="52"/>
      <c r="E631" s="52"/>
      <c r="F631" s="58"/>
      <c r="G631" s="58"/>
      <c r="H631" s="58"/>
      <c r="I631" s="58"/>
      <c r="J631" s="58"/>
      <c r="K631" s="58"/>
      <c r="L631" s="58"/>
      <c r="M631" s="58"/>
      <c r="N631" s="58"/>
      <c r="O631" s="58"/>
    </row>
    <row r="632">
      <c r="A632" s="95"/>
      <c r="B632" s="95"/>
      <c r="C632" s="52"/>
      <c r="D632" s="52"/>
      <c r="E632" s="52"/>
      <c r="F632" s="58"/>
      <c r="G632" s="58"/>
      <c r="H632" s="58"/>
      <c r="I632" s="58"/>
      <c r="J632" s="58"/>
      <c r="K632" s="58"/>
      <c r="L632" s="58"/>
      <c r="M632" s="58"/>
      <c r="N632" s="58"/>
      <c r="O632" s="58"/>
    </row>
    <row r="633">
      <c r="A633" s="95"/>
      <c r="B633" s="95"/>
      <c r="C633" s="52"/>
      <c r="D633" s="52"/>
      <c r="E633" s="52"/>
      <c r="F633" s="58"/>
      <c r="G633" s="58"/>
      <c r="H633" s="58"/>
      <c r="I633" s="58"/>
      <c r="J633" s="58"/>
      <c r="K633" s="58"/>
      <c r="L633" s="58"/>
      <c r="M633" s="58"/>
      <c r="N633" s="58"/>
      <c r="O633" s="58"/>
    </row>
    <row r="634">
      <c r="A634" s="95"/>
      <c r="B634" s="95"/>
      <c r="C634" s="52"/>
      <c r="D634" s="52"/>
      <c r="E634" s="52"/>
      <c r="F634" s="58"/>
      <c r="G634" s="58"/>
      <c r="H634" s="58"/>
      <c r="I634" s="58"/>
      <c r="J634" s="58"/>
      <c r="K634" s="58"/>
      <c r="L634" s="58"/>
      <c r="M634" s="58"/>
      <c r="N634" s="58"/>
      <c r="O634" s="58"/>
    </row>
    <row r="635">
      <c r="A635" s="95"/>
      <c r="B635" s="95"/>
      <c r="C635" s="52"/>
      <c r="D635" s="52"/>
      <c r="E635" s="52"/>
      <c r="F635" s="58"/>
      <c r="G635" s="58"/>
      <c r="H635" s="58"/>
      <c r="I635" s="58"/>
      <c r="J635" s="58"/>
      <c r="K635" s="58"/>
      <c r="L635" s="58"/>
      <c r="M635" s="58"/>
      <c r="N635" s="58"/>
      <c r="O635" s="58"/>
    </row>
    <row r="636">
      <c r="A636" s="95"/>
      <c r="B636" s="95"/>
      <c r="C636" s="52"/>
      <c r="D636" s="52"/>
      <c r="E636" s="52"/>
      <c r="F636" s="58"/>
      <c r="G636" s="58"/>
      <c r="H636" s="58"/>
      <c r="I636" s="58"/>
      <c r="J636" s="58"/>
      <c r="K636" s="58"/>
      <c r="L636" s="58"/>
      <c r="M636" s="58"/>
      <c r="N636" s="58"/>
      <c r="O636" s="58"/>
    </row>
    <row r="637">
      <c r="A637" s="95"/>
      <c r="B637" s="95"/>
      <c r="C637" s="52"/>
      <c r="D637" s="52"/>
      <c r="E637" s="52"/>
      <c r="F637" s="58"/>
      <c r="G637" s="58"/>
      <c r="H637" s="58"/>
      <c r="I637" s="58"/>
      <c r="J637" s="58"/>
      <c r="K637" s="58"/>
      <c r="L637" s="58"/>
      <c r="M637" s="58"/>
      <c r="N637" s="58"/>
      <c r="O637" s="58"/>
    </row>
    <row r="638">
      <c r="A638" s="95"/>
      <c r="B638" s="95"/>
      <c r="C638" s="52"/>
      <c r="D638" s="52"/>
      <c r="E638" s="52"/>
      <c r="F638" s="58"/>
      <c r="G638" s="58"/>
      <c r="H638" s="58"/>
      <c r="I638" s="58"/>
      <c r="J638" s="58"/>
      <c r="K638" s="58"/>
      <c r="L638" s="58"/>
      <c r="M638" s="58"/>
      <c r="N638" s="58"/>
      <c r="O638" s="58"/>
    </row>
    <row r="639">
      <c r="A639" s="95"/>
      <c r="B639" s="95"/>
      <c r="C639" s="52"/>
      <c r="D639" s="52"/>
      <c r="E639" s="52"/>
      <c r="F639" s="58"/>
      <c r="G639" s="58"/>
      <c r="H639" s="58"/>
      <c r="I639" s="58"/>
      <c r="J639" s="58"/>
      <c r="K639" s="58"/>
      <c r="L639" s="58"/>
      <c r="M639" s="58"/>
      <c r="N639" s="58"/>
      <c r="O639" s="58"/>
    </row>
    <row r="640">
      <c r="A640" s="95"/>
      <c r="B640" s="95"/>
      <c r="C640" s="52"/>
      <c r="D640" s="52"/>
      <c r="E640" s="52"/>
      <c r="F640" s="58"/>
      <c r="G640" s="58"/>
      <c r="H640" s="58"/>
      <c r="I640" s="58"/>
      <c r="J640" s="58"/>
      <c r="K640" s="58"/>
      <c r="L640" s="58"/>
      <c r="M640" s="58"/>
      <c r="N640" s="58"/>
      <c r="O640" s="58"/>
    </row>
    <row r="641">
      <c r="A641" s="95"/>
      <c r="B641" s="95"/>
      <c r="C641" s="52"/>
      <c r="D641" s="52"/>
      <c r="E641" s="52"/>
      <c r="F641" s="58"/>
      <c r="G641" s="58"/>
      <c r="H641" s="58"/>
      <c r="I641" s="58"/>
      <c r="J641" s="58"/>
      <c r="K641" s="58"/>
      <c r="L641" s="58"/>
      <c r="M641" s="58"/>
      <c r="N641" s="58"/>
      <c r="O641" s="58"/>
    </row>
    <row r="642">
      <c r="A642" s="95"/>
      <c r="B642" s="95"/>
      <c r="C642" s="52"/>
      <c r="D642" s="52"/>
      <c r="E642" s="52"/>
      <c r="F642" s="58"/>
      <c r="G642" s="58"/>
      <c r="H642" s="58"/>
      <c r="I642" s="58"/>
      <c r="J642" s="58"/>
      <c r="K642" s="58"/>
      <c r="L642" s="58"/>
      <c r="M642" s="58"/>
      <c r="N642" s="58"/>
      <c r="O642" s="58"/>
    </row>
    <row r="643">
      <c r="A643" s="95"/>
      <c r="B643" s="95"/>
      <c r="C643" s="52"/>
      <c r="D643" s="52"/>
      <c r="E643" s="52"/>
      <c r="F643" s="58"/>
      <c r="G643" s="58"/>
      <c r="H643" s="58"/>
      <c r="I643" s="58"/>
      <c r="J643" s="58"/>
      <c r="K643" s="58"/>
      <c r="L643" s="58"/>
      <c r="M643" s="58"/>
      <c r="N643" s="58"/>
      <c r="O643" s="58"/>
    </row>
    <row r="644">
      <c r="A644" s="95"/>
      <c r="B644" s="95"/>
      <c r="C644" s="52"/>
      <c r="D644" s="52"/>
      <c r="E644" s="52"/>
      <c r="F644" s="58"/>
      <c r="G644" s="58"/>
      <c r="H644" s="58"/>
      <c r="I644" s="58"/>
      <c r="J644" s="58"/>
      <c r="K644" s="58"/>
      <c r="L644" s="58"/>
      <c r="M644" s="58"/>
      <c r="N644" s="58"/>
      <c r="O644" s="58"/>
    </row>
    <row r="645">
      <c r="A645" s="95"/>
      <c r="B645" s="95"/>
      <c r="C645" s="52"/>
      <c r="D645" s="52"/>
      <c r="E645" s="52"/>
      <c r="F645" s="58"/>
      <c r="G645" s="58"/>
      <c r="H645" s="58"/>
      <c r="I645" s="58"/>
      <c r="J645" s="58"/>
      <c r="K645" s="58"/>
      <c r="L645" s="58"/>
      <c r="M645" s="58"/>
      <c r="N645" s="58"/>
      <c r="O645" s="58"/>
    </row>
    <row r="646">
      <c r="A646" s="95"/>
      <c r="B646" s="95"/>
      <c r="C646" s="52"/>
      <c r="D646" s="52"/>
      <c r="E646" s="52"/>
      <c r="F646" s="58"/>
      <c r="G646" s="58"/>
      <c r="H646" s="58"/>
      <c r="I646" s="58"/>
      <c r="J646" s="58"/>
      <c r="K646" s="58"/>
      <c r="L646" s="58"/>
      <c r="M646" s="58"/>
      <c r="N646" s="58"/>
      <c r="O646" s="58"/>
    </row>
    <row r="647">
      <c r="A647" s="95"/>
      <c r="B647" s="95"/>
      <c r="C647" s="52"/>
      <c r="D647" s="52"/>
      <c r="E647" s="52"/>
      <c r="F647" s="58"/>
      <c r="G647" s="58"/>
      <c r="H647" s="58"/>
      <c r="I647" s="58"/>
      <c r="J647" s="58"/>
      <c r="K647" s="58"/>
      <c r="L647" s="58"/>
      <c r="M647" s="58"/>
      <c r="N647" s="58"/>
      <c r="O647" s="58"/>
    </row>
    <row r="648">
      <c r="A648" s="95"/>
      <c r="B648" s="95"/>
      <c r="C648" s="52"/>
      <c r="D648" s="52"/>
      <c r="E648" s="52"/>
      <c r="F648" s="58"/>
      <c r="G648" s="58"/>
      <c r="H648" s="58"/>
      <c r="I648" s="58"/>
      <c r="J648" s="58"/>
      <c r="K648" s="58"/>
      <c r="L648" s="58"/>
      <c r="M648" s="58"/>
      <c r="N648" s="58"/>
      <c r="O648" s="58"/>
    </row>
    <row r="649">
      <c r="A649" s="95"/>
      <c r="B649" s="95"/>
      <c r="C649" s="52"/>
      <c r="D649" s="52"/>
      <c r="E649" s="52"/>
      <c r="F649" s="58"/>
      <c r="G649" s="58"/>
      <c r="H649" s="58"/>
      <c r="I649" s="58"/>
      <c r="J649" s="58"/>
      <c r="K649" s="58"/>
      <c r="L649" s="58"/>
      <c r="M649" s="58"/>
      <c r="N649" s="58"/>
      <c r="O649" s="58"/>
    </row>
    <row r="650">
      <c r="A650" s="95"/>
      <c r="B650" s="95"/>
      <c r="C650" s="52"/>
      <c r="D650" s="52"/>
      <c r="E650" s="52"/>
      <c r="F650" s="58"/>
      <c r="G650" s="58"/>
      <c r="H650" s="58"/>
      <c r="I650" s="58"/>
      <c r="J650" s="58"/>
      <c r="K650" s="58"/>
      <c r="L650" s="58"/>
      <c r="M650" s="58"/>
      <c r="N650" s="58"/>
      <c r="O650" s="58"/>
    </row>
    <row r="651">
      <c r="A651" s="95"/>
      <c r="B651" s="95"/>
      <c r="C651" s="52"/>
      <c r="D651" s="52"/>
      <c r="E651" s="52"/>
      <c r="F651" s="58"/>
      <c r="G651" s="58"/>
      <c r="H651" s="58"/>
      <c r="I651" s="58"/>
      <c r="J651" s="58"/>
      <c r="K651" s="58"/>
      <c r="L651" s="58"/>
      <c r="M651" s="58"/>
      <c r="N651" s="58"/>
      <c r="O651" s="58"/>
    </row>
    <row r="652">
      <c r="A652" s="95"/>
      <c r="B652" s="95"/>
      <c r="C652" s="52"/>
      <c r="D652" s="52"/>
      <c r="E652" s="52"/>
      <c r="F652" s="58"/>
      <c r="G652" s="58"/>
      <c r="H652" s="58"/>
      <c r="I652" s="58"/>
      <c r="J652" s="58"/>
      <c r="K652" s="58"/>
      <c r="L652" s="58"/>
      <c r="M652" s="58"/>
      <c r="N652" s="58"/>
      <c r="O652" s="58"/>
    </row>
    <row r="653">
      <c r="A653" s="95"/>
      <c r="B653" s="95"/>
      <c r="C653" s="52"/>
      <c r="D653" s="52"/>
      <c r="E653" s="52"/>
      <c r="F653" s="58"/>
      <c r="G653" s="58"/>
      <c r="H653" s="58"/>
      <c r="I653" s="58"/>
      <c r="J653" s="58"/>
      <c r="K653" s="58"/>
      <c r="L653" s="58"/>
      <c r="M653" s="58"/>
      <c r="N653" s="58"/>
      <c r="O653" s="58"/>
    </row>
    <row r="654">
      <c r="A654" s="95"/>
      <c r="B654" s="95"/>
      <c r="C654" s="52"/>
      <c r="D654" s="52"/>
      <c r="E654" s="52"/>
      <c r="F654" s="58"/>
      <c r="G654" s="58"/>
      <c r="H654" s="58"/>
      <c r="I654" s="58"/>
      <c r="J654" s="58"/>
      <c r="K654" s="58"/>
      <c r="L654" s="58"/>
      <c r="M654" s="58"/>
      <c r="N654" s="58"/>
      <c r="O654" s="58"/>
    </row>
    <row r="655">
      <c r="A655" s="95"/>
      <c r="B655" s="95"/>
      <c r="C655" s="52"/>
      <c r="D655" s="52"/>
      <c r="E655" s="52"/>
      <c r="F655" s="58"/>
      <c r="G655" s="58"/>
      <c r="H655" s="58"/>
      <c r="I655" s="58"/>
      <c r="J655" s="58"/>
      <c r="K655" s="58"/>
      <c r="L655" s="58"/>
      <c r="M655" s="58"/>
      <c r="N655" s="58"/>
      <c r="O655" s="58"/>
    </row>
    <row r="656">
      <c r="A656" s="95"/>
      <c r="B656" s="95"/>
      <c r="C656" s="52"/>
      <c r="D656" s="52"/>
      <c r="E656" s="52"/>
      <c r="F656" s="58"/>
      <c r="G656" s="58"/>
      <c r="H656" s="58"/>
      <c r="I656" s="58"/>
      <c r="J656" s="58"/>
      <c r="K656" s="58"/>
      <c r="L656" s="58"/>
      <c r="M656" s="58"/>
      <c r="N656" s="58"/>
      <c r="O656" s="58"/>
    </row>
    <row r="657">
      <c r="A657" s="95"/>
      <c r="B657" s="95"/>
      <c r="C657" s="52"/>
      <c r="D657" s="52"/>
      <c r="E657" s="52"/>
      <c r="F657" s="58"/>
      <c r="G657" s="58"/>
      <c r="H657" s="58"/>
      <c r="I657" s="58"/>
      <c r="J657" s="58"/>
      <c r="K657" s="58"/>
      <c r="L657" s="58"/>
      <c r="M657" s="58"/>
      <c r="N657" s="58"/>
      <c r="O657" s="58"/>
    </row>
    <row r="658">
      <c r="A658" s="95"/>
      <c r="B658" s="95"/>
      <c r="C658" s="52"/>
      <c r="D658" s="52"/>
      <c r="E658" s="52"/>
      <c r="F658" s="58"/>
      <c r="G658" s="58"/>
      <c r="H658" s="58"/>
      <c r="I658" s="58"/>
      <c r="J658" s="58"/>
      <c r="K658" s="58"/>
      <c r="L658" s="58"/>
      <c r="M658" s="58"/>
      <c r="N658" s="58"/>
      <c r="O658" s="58"/>
    </row>
    <row r="659">
      <c r="A659" s="95"/>
      <c r="B659" s="95"/>
      <c r="C659" s="52"/>
      <c r="D659" s="52"/>
      <c r="E659" s="52"/>
      <c r="F659" s="58"/>
      <c r="G659" s="58"/>
      <c r="H659" s="58"/>
      <c r="I659" s="58"/>
      <c r="J659" s="58"/>
      <c r="K659" s="58"/>
      <c r="L659" s="58"/>
      <c r="M659" s="58"/>
      <c r="N659" s="58"/>
      <c r="O659" s="58"/>
    </row>
    <row r="660">
      <c r="A660" s="95"/>
      <c r="B660" s="95"/>
      <c r="C660" s="52"/>
      <c r="D660" s="52"/>
      <c r="E660" s="52"/>
      <c r="F660" s="58"/>
      <c r="G660" s="58"/>
      <c r="H660" s="58"/>
      <c r="I660" s="58"/>
      <c r="J660" s="58"/>
      <c r="K660" s="58"/>
      <c r="L660" s="58"/>
      <c r="M660" s="58"/>
      <c r="N660" s="58"/>
      <c r="O660" s="58"/>
    </row>
    <row r="661">
      <c r="A661" s="95"/>
      <c r="B661" s="95"/>
      <c r="C661" s="52"/>
      <c r="D661" s="52"/>
      <c r="E661" s="52"/>
      <c r="F661" s="58"/>
      <c r="G661" s="58"/>
      <c r="H661" s="58"/>
      <c r="I661" s="58"/>
      <c r="J661" s="58"/>
      <c r="K661" s="58"/>
      <c r="L661" s="58"/>
      <c r="M661" s="58"/>
      <c r="N661" s="58"/>
      <c r="O661" s="58"/>
    </row>
    <row r="662">
      <c r="A662" s="95"/>
      <c r="B662" s="95"/>
      <c r="C662" s="52"/>
      <c r="D662" s="52"/>
      <c r="E662" s="52"/>
      <c r="F662" s="58"/>
      <c r="G662" s="58"/>
      <c r="H662" s="58"/>
      <c r="I662" s="58"/>
      <c r="J662" s="58"/>
      <c r="K662" s="58"/>
      <c r="L662" s="58"/>
      <c r="M662" s="58"/>
      <c r="N662" s="58"/>
      <c r="O662" s="58"/>
    </row>
    <row r="663">
      <c r="A663" s="95"/>
      <c r="B663" s="95"/>
      <c r="C663" s="52"/>
      <c r="D663" s="52"/>
      <c r="E663" s="52"/>
      <c r="F663" s="58"/>
      <c r="G663" s="58"/>
      <c r="H663" s="58"/>
      <c r="I663" s="58"/>
      <c r="J663" s="58"/>
      <c r="K663" s="58"/>
      <c r="L663" s="58"/>
      <c r="M663" s="58"/>
      <c r="N663" s="58"/>
      <c r="O663" s="58"/>
    </row>
    <row r="664">
      <c r="A664" s="95"/>
      <c r="B664" s="95"/>
      <c r="C664" s="52"/>
      <c r="D664" s="52"/>
      <c r="E664" s="52"/>
      <c r="F664" s="58"/>
      <c r="G664" s="58"/>
      <c r="H664" s="58"/>
      <c r="I664" s="58"/>
      <c r="J664" s="58"/>
      <c r="K664" s="58"/>
      <c r="L664" s="58"/>
      <c r="M664" s="58"/>
      <c r="N664" s="58"/>
      <c r="O664" s="58"/>
    </row>
    <row r="665">
      <c r="A665" s="95"/>
      <c r="B665" s="95"/>
      <c r="C665" s="52"/>
      <c r="D665" s="52"/>
      <c r="E665" s="52"/>
      <c r="F665" s="58"/>
      <c r="G665" s="58"/>
      <c r="H665" s="58"/>
      <c r="I665" s="58"/>
      <c r="J665" s="58"/>
      <c r="K665" s="58"/>
      <c r="L665" s="58"/>
      <c r="M665" s="58"/>
      <c r="N665" s="58"/>
      <c r="O665" s="58"/>
    </row>
    <row r="666">
      <c r="A666" s="95"/>
      <c r="B666" s="95"/>
      <c r="C666" s="52"/>
      <c r="D666" s="52"/>
      <c r="E666" s="52"/>
      <c r="F666" s="58"/>
      <c r="G666" s="58"/>
      <c r="H666" s="58"/>
      <c r="I666" s="58"/>
      <c r="J666" s="58"/>
      <c r="K666" s="58"/>
      <c r="L666" s="58"/>
      <c r="M666" s="58"/>
      <c r="N666" s="58"/>
      <c r="O666" s="58"/>
    </row>
    <row r="667">
      <c r="A667" s="95"/>
      <c r="B667" s="95"/>
      <c r="C667" s="52"/>
      <c r="D667" s="52"/>
      <c r="E667" s="52"/>
      <c r="F667" s="58"/>
      <c r="G667" s="58"/>
      <c r="H667" s="58"/>
      <c r="I667" s="58"/>
      <c r="J667" s="58"/>
      <c r="K667" s="58"/>
      <c r="L667" s="58"/>
      <c r="M667" s="58"/>
      <c r="N667" s="58"/>
      <c r="O667" s="58"/>
    </row>
    <row r="668">
      <c r="A668" s="95"/>
      <c r="B668" s="95"/>
      <c r="C668" s="52"/>
      <c r="D668" s="52"/>
      <c r="E668" s="52"/>
      <c r="F668" s="58"/>
      <c r="G668" s="58"/>
      <c r="H668" s="58"/>
      <c r="I668" s="58"/>
      <c r="J668" s="58"/>
      <c r="K668" s="58"/>
      <c r="L668" s="58"/>
      <c r="M668" s="58"/>
      <c r="N668" s="58"/>
      <c r="O668" s="58"/>
    </row>
    <row r="669">
      <c r="A669" s="95"/>
      <c r="B669" s="95"/>
      <c r="C669" s="52"/>
      <c r="D669" s="52"/>
      <c r="E669" s="52"/>
      <c r="F669" s="58"/>
      <c r="G669" s="58"/>
      <c r="H669" s="58"/>
      <c r="I669" s="58"/>
      <c r="J669" s="58"/>
      <c r="K669" s="58"/>
      <c r="L669" s="58"/>
      <c r="M669" s="58"/>
      <c r="N669" s="58"/>
      <c r="O669" s="58"/>
    </row>
    <row r="670">
      <c r="A670" s="95"/>
      <c r="B670" s="95"/>
      <c r="C670" s="52"/>
      <c r="D670" s="52"/>
      <c r="E670" s="52"/>
      <c r="F670" s="58"/>
      <c r="G670" s="58"/>
      <c r="H670" s="58"/>
      <c r="I670" s="58"/>
      <c r="J670" s="58"/>
      <c r="K670" s="58"/>
      <c r="L670" s="58"/>
      <c r="M670" s="58"/>
      <c r="N670" s="58"/>
      <c r="O670" s="58"/>
    </row>
    <row r="671">
      <c r="A671" s="95"/>
      <c r="B671" s="95"/>
      <c r="C671" s="52"/>
      <c r="D671" s="52"/>
      <c r="E671" s="52"/>
      <c r="F671" s="58"/>
      <c r="G671" s="58"/>
      <c r="H671" s="58"/>
      <c r="I671" s="58"/>
      <c r="J671" s="58"/>
      <c r="K671" s="58"/>
      <c r="L671" s="58"/>
      <c r="M671" s="58"/>
      <c r="N671" s="58"/>
      <c r="O671" s="58"/>
    </row>
    <row r="672">
      <c r="A672" s="95"/>
      <c r="B672" s="95"/>
      <c r="C672" s="52"/>
      <c r="D672" s="52"/>
      <c r="E672" s="52"/>
      <c r="F672" s="58"/>
      <c r="G672" s="58"/>
      <c r="H672" s="58"/>
      <c r="I672" s="58"/>
      <c r="J672" s="58"/>
      <c r="K672" s="58"/>
      <c r="L672" s="58"/>
      <c r="M672" s="58"/>
      <c r="N672" s="58"/>
      <c r="O672" s="58"/>
    </row>
    <row r="673">
      <c r="A673" s="95"/>
      <c r="B673" s="95"/>
      <c r="C673" s="52"/>
      <c r="D673" s="52"/>
      <c r="E673" s="52"/>
      <c r="F673" s="58"/>
      <c r="G673" s="58"/>
      <c r="H673" s="58"/>
      <c r="I673" s="58"/>
      <c r="J673" s="58"/>
      <c r="K673" s="58"/>
      <c r="L673" s="58"/>
      <c r="M673" s="58"/>
      <c r="N673" s="58"/>
      <c r="O673" s="58"/>
    </row>
    <row r="674">
      <c r="A674" s="95"/>
      <c r="B674" s="95"/>
      <c r="C674" s="52"/>
      <c r="D674" s="52"/>
      <c r="E674" s="52"/>
      <c r="F674" s="58"/>
      <c r="G674" s="58"/>
      <c r="H674" s="58"/>
      <c r="I674" s="58"/>
      <c r="J674" s="58"/>
      <c r="K674" s="58"/>
      <c r="L674" s="58"/>
      <c r="M674" s="58"/>
      <c r="N674" s="58"/>
      <c r="O674" s="58"/>
    </row>
    <row r="675">
      <c r="A675" s="95"/>
      <c r="B675" s="95"/>
      <c r="C675" s="52"/>
      <c r="D675" s="52"/>
      <c r="E675" s="52"/>
      <c r="F675" s="58"/>
      <c r="G675" s="58"/>
      <c r="H675" s="58"/>
      <c r="I675" s="58"/>
      <c r="J675" s="58"/>
      <c r="K675" s="58"/>
      <c r="L675" s="58"/>
      <c r="M675" s="58"/>
      <c r="N675" s="58"/>
      <c r="O675" s="58"/>
    </row>
    <row r="676">
      <c r="A676" s="95"/>
      <c r="B676" s="95"/>
      <c r="C676" s="52"/>
      <c r="D676" s="52"/>
      <c r="E676" s="52"/>
      <c r="F676" s="58"/>
      <c r="G676" s="58"/>
      <c r="H676" s="58"/>
      <c r="I676" s="58"/>
      <c r="J676" s="58"/>
      <c r="K676" s="58"/>
      <c r="L676" s="58"/>
      <c r="M676" s="58"/>
      <c r="N676" s="58"/>
      <c r="O676" s="58"/>
    </row>
    <row r="677">
      <c r="A677" s="95"/>
      <c r="B677" s="95"/>
      <c r="C677" s="52"/>
      <c r="D677" s="52"/>
      <c r="E677" s="52"/>
      <c r="F677" s="58"/>
      <c r="G677" s="58"/>
      <c r="H677" s="58"/>
      <c r="I677" s="58"/>
      <c r="J677" s="58"/>
      <c r="K677" s="58"/>
      <c r="L677" s="58"/>
      <c r="M677" s="58"/>
      <c r="N677" s="58"/>
      <c r="O677" s="58"/>
    </row>
    <row r="678">
      <c r="A678" s="95"/>
      <c r="B678" s="95"/>
      <c r="C678" s="52"/>
      <c r="D678" s="52"/>
      <c r="E678" s="52"/>
      <c r="F678" s="58"/>
      <c r="G678" s="58"/>
      <c r="H678" s="58"/>
      <c r="I678" s="58"/>
      <c r="J678" s="58"/>
      <c r="K678" s="58"/>
      <c r="L678" s="58"/>
      <c r="M678" s="58"/>
      <c r="N678" s="58"/>
      <c r="O678" s="58"/>
    </row>
    <row r="679">
      <c r="A679" s="95"/>
      <c r="B679" s="95"/>
      <c r="C679" s="52"/>
      <c r="D679" s="52"/>
      <c r="E679" s="52"/>
      <c r="F679" s="58"/>
      <c r="G679" s="58"/>
      <c r="H679" s="58"/>
      <c r="I679" s="58"/>
      <c r="J679" s="58"/>
      <c r="K679" s="58"/>
      <c r="L679" s="58"/>
      <c r="M679" s="58"/>
      <c r="N679" s="58"/>
      <c r="O679" s="58"/>
    </row>
    <row r="680">
      <c r="A680" s="95"/>
      <c r="B680" s="95"/>
      <c r="C680" s="52"/>
      <c r="D680" s="52"/>
      <c r="E680" s="52"/>
      <c r="F680" s="58"/>
      <c r="G680" s="58"/>
      <c r="H680" s="58"/>
      <c r="I680" s="58"/>
      <c r="J680" s="58"/>
      <c r="K680" s="58"/>
      <c r="L680" s="58"/>
      <c r="M680" s="58"/>
      <c r="N680" s="58"/>
      <c r="O680" s="58"/>
    </row>
    <row r="681">
      <c r="A681" s="95"/>
      <c r="B681" s="95"/>
      <c r="C681" s="52"/>
      <c r="D681" s="52"/>
      <c r="E681" s="52"/>
      <c r="F681" s="58"/>
      <c r="G681" s="58"/>
      <c r="H681" s="58"/>
      <c r="I681" s="58"/>
      <c r="J681" s="58"/>
      <c r="K681" s="58"/>
      <c r="L681" s="58"/>
      <c r="M681" s="58"/>
      <c r="N681" s="58"/>
      <c r="O681" s="58"/>
    </row>
    <row r="682">
      <c r="A682" s="95"/>
      <c r="B682" s="95"/>
      <c r="C682" s="52"/>
      <c r="D682" s="52"/>
      <c r="E682" s="52"/>
      <c r="F682" s="58"/>
      <c r="G682" s="58"/>
      <c r="H682" s="58"/>
      <c r="I682" s="58"/>
      <c r="J682" s="58"/>
      <c r="K682" s="58"/>
      <c r="L682" s="58"/>
      <c r="M682" s="58"/>
      <c r="N682" s="58"/>
      <c r="O682" s="58"/>
    </row>
    <row r="683">
      <c r="A683" s="95"/>
      <c r="B683" s="95"/>
      <c r="C683" s="52"/>
      <c r="D683" s="52"/>
      <c r="E683" s="52"/>
      <c r="F683" s="58"/>
      <c r="G683" s="58"/>
      <c r="H683" s="58"/>
      <c r="I683" s="58"/>
      <c r="J683" s="58"/>
      <c r="K683" s="58"/>
      <c r="L683" s="58"/>
      <c r="M683" s="58"/>
      <c r="N683" s="58"/>
      <c r="O683" s="58"/>
    </row>
    <row r="684">
      <c r="A684" s="95"/>
      <c r="B684" s="95"/>
      <c r="C684" s="52"/>
      <c r="D684" s="52"/>
      <c r="E684" s="52"/>
      <c r="F684" s="58"/>
      <c r="G684" s="58"/>
      <c r="H684" s="58"/>
      <c r="I684" s="58"/>
      <c r="J684" s="58"/>
      <c r="K684" s="58"/>
      <c r="L684" s="58"/>
      <c r="M684" s="58"/>
      <c r="N684" s="58"/>
      <c r="O684" s="58"/>
    </row>
    <row r="685">
      <c r="A685" s="95"/>
      <c r="B685" s="95"/>
      <c r="C685" s="52"/>
      <c r="D685" s="52"/>
      <c r="E685" s="52"/>
      <c r="F685" s="58"/>
      <c r="G685" s="58"/>
      <c r="H685" s="58"/>
      <c r="I685" s="58"/>
      <c r="J685" s="58"/>
      <c r="K685" s="58"/>
      <c r="L685" s="58"/>
      <c r="M685" s="58"/>
      <c r="N685" s="58"/>
      <c r="O685" s="58"/>
    </row>
    <row r="686">
      <c r="A686" s="95"/>
      <c r="B686" s="95"/>
      <c r="C686" s="52"/>
      <c r="D686" s="52"/>
      <c r="E686" s="52"/>
      <c r="F686" s="58"/>
      <c r="G686" s="58"/>
      <c r="H686" s="58"/>
      <c r="I686" s="58"/>
      <c r="J686" s="58"/>
      <c r="K686" s="58"/>
      <c r="L686" s="58"/>
      <c r="M686" s="58"/>
      <c r="N686" s="58"/>
      <c r="O686" s="58"/>
    </row>
    <row r="687">
      <c r="A687" s="95"/>
      <c r="B687" s="95"/>
      <c r="C687" s="52"/>
      <c r="D687" s="52"/>
      <c r="E687" s="52"/>
      <c r="F687" s="58"/>
      <c r="G687" s="58"/>
      <c r="H687" s="58"/>
      <c r="I687" s="58"/>
      <c r="J687" s="58"/>
      <c r="K687" s="58"/>
      <c r="L687" s="58"/>
      <c r="M687" s="58"/>
      <c r="N687" s="58"/>
      <c r="O687" s="58"/>
    </row>
    <row r="688">
      <c r="A688" s="95"/>
      <c r="B688" s="95"/>
      <c r="C688" s="52"/>
      <c r="D688" s="52"/>
      <c r="E688" s="52"/>
      <c r="F688" s="58"/>
      <c r="G688" s="58"/>
      <c r="H688" s="58"/>
      <c r="I688" s="58"/>
      <c r="J688" s="58"/>
      <c r="K688" s="58"/>
      <c r="L688" s="58"/>
      <c r="M688" s="58"/>
      <c r="N688" s="58"/>
      <c r="O688" s="58"/>
    </row>
    <row r="689">
      <c r="A689" s="95"/>
      <c r="B689" s="95"/>
      <c r="C689" s="52"/>
      <c r="D689" s="52"/>
      <c r="E689" s="52"/>
      <c r="F689" s="58"/>
      <c r="G689" s="58"/>
      <c r="H689" s="58"/>
      <c r="I689" s="58"/>
      <c r="J689" s="58"/>
      <c r="K689" s="58"/>
      <c r="L689" s="58"/>
      <c r="M689" s="58"/>
      <c r="N689" s="58"/>
      <c r="O689" s="58"/>
    </row>
    <row r="690">
      <c r="A690" s="95"/>
      <c r="B690" s="95"/>
      <c r="C690" s="52"/>
      <c r="D690" s="52"/>
      <c r="E690" s="52"/>
      <c r="F690" s="58"/>
      <c r="G690" s="58"/>
      <c r="H690" s="58"/>
      <c r="I690" s="58"/>
      <c r="J690" s="58"/>
      <c r="K690" s="58"/>
      <c r="L690" s="58"/>
      <c r="M690" s="58"/>
      <c r="N690" s="58"/>
      <c r="O690" s="58"/>
    </row>
    <row r="691">
      <c r="A691" s="95"/>
      <c r="B691" s="95"/>
      <c r="C691" s="52"/>
      <c r="D691" s="52"/>
      <c r="E691" s="52"/>
      <c r="F691" s="58"/>
      <c r="G691" s="58"/>
      <c r="H691" s="58"/>
      <c r="I691" s="58"/>
      <c r="J691" s="58"/>
      <c r="K691" s="58"/>
      <c r="L691" s="58"/>
      <c r="M691" s="58"/>
      <c r="N691" s="58"/>
      <c r="O691" s="58"/>
    </row>
    <row r="692">
      <c r="A692" s="95"/>
      <c r="B692" s="95"/>
      <c r="C692" s="52"/>
      <c r="D692" s="52"/>
      <c r="E692" s="52"/>
      <c r="F692" s="58"/>
      <c r="G692" s="58"/>
      <c r="H692" s="58"/>
      <c r="I692" s="58"/>
      <c r="J692" s="58"/>
      <c r="K692" s="58"/>
      <c r="L692" s="58"/>
      <c r="M692" s="58"/>
      <c r="N692" s="58"/>
      <c r="O692" s="58"/>
    </row>
    <row r="693">
      <c r="A693" s="95"/>
      <c r="B693" s="95"/>
      <c r="C693" s="52"/>
      <c r="D693" s="52"/>
      <c r="E693" s="52"/>
      <c r="F693" s="58"/>
      <c r="G693" s="58"/>
      <c r="H693" s="58"/>
      <c r="I693" s="58"/>
      <c r="J693" s="58"/>
      <c r="K693" s="58"/>
      <c r="L693" s="58"/>
      <c r="M693" s="58"/>
      <c r="N693" s="58"/>
      <c r="O693" s="58"/>
    </row>
    <row r="694">
      <c r="A694" s="95"/>
      <c r="B694" s="95"/>
      <c r="C694" s="52"/>
      <c r="D694" s="52"/>
      <c r="E694" s="52"/>
      <c r="F694" s="58"/>
      <c r="G694" s="58"/>
      <c r="H694" s="58"/>
      <c r="I694" s="58"/>
      <c r="J694" s="58"/>
      <c r="K694" s="58"/>
      <c r="L694" s="58"/>
      <c r="M694" s="58"/>
      <c r="N694" s="58"/>
      <c r="O694" s="58"/>
    </row>
    <row r="695">
      <c r="A695" s="95"/>
      <c r="B695" s="95"/>
      <c r="C695" s="52"/>
      <c r="D695" s="52"/>
      <c r="E695" s="52"/>
      <c r="F695" s="58"/>
      <c r="G695" s="58"/>
      <c r="H695" s="58"/>
      <c r="I695" s="58"/>
      <c r="J695" s="58"/>
      <c r="K695" s="58"/>
      <c r="L695" s="58"/>
      <c r="M695" s="58"/>
      <c r="N695" s="58"/>
      <c r="O695" s="58"/>
    </row>
    <row r="696">
      <c r="A696" s="95"/>
      <c r="B696" s="95"/>
      <c r="C696" s="52"/>
      <c r="D696" s="52"/>
      <c r="E696" s="52"/>
      <c r="F696" s="58"/>
      <c r="G696" s="58"/>
      <c r="H696" s="58"/>
      <c r="I696" s="58"/>
      <c r="J696" s="58"/>
      <c r="K696" s="58"/>
      <c r="L696" s="58"/>
      <c r="M696" s="58"/>
      <c r="N696" s="58"/>
      <c r="O696" s="58"/>
    </row>
    <row r="697">
      <c r="A697" s="95"/>
      <c r="B697" s="95"/>
      <c r="C697" s="52"/>
      <c r="D697" s="52"/>
      <c r="E697" s="52"/>
      <c r="F697" s="58"/>
      <c r="G697" s="58"/>
      <c r="H697" s="58"/>
      <c r="I697" s="58"/>
      <c r="J697" s="58"/>
      <c r="K697" s="58"/>
      <c r="L697" s="58"/>
      <c r="M697" s="58"/>
      <c r="N697" s="58"/>
      <c r="O697" s="58"/>
    </row>
    <row r="698">
      <c r="A698" s="95"/>
      <c r="B698" s="95"/>
      <c r="C698" s="52"/>
      <c r="D698" s="52"/>
      <c r="E698" s="52"/>
      <c r="F698" s="58"/>
      <c r="G698" s="58"/>
      <c r="H698" s="58"/>
      <c r="I698" s="58"/>
      <c r="J698" s="58"/>
      <c r="K698" s="58"/>
      <c r="L698" s="58"/>
      <c r="M698" s="58"/>
      <c r="N698" s="58"/>
      <c r="O698" s="58"/>
    </row>
    <row r="699">
      <c r="A699" s="95"/>
      <c r="B699" s="95"/>
      <c r="C699" s="52"/>
      <c r="D699" s="52"/>
      <c r="E699" s="52"/>
      <c r="F699" s="58"/>
      <c r="G699" s="58"/>
      <c r="H699" s="58"/>
      <c r="I699" s="58"/>
      <c r="J699" s="58"/>
      <c r="K699" s="58"/>
      <c r="L699" s="58"/>
      <c r="M699" s="58"/>
      <c r="N699" s="58"/>
      <c r="O699" s="58"/>
    </row>
    <row r="700">
      <c r="A700" s="95"/>
      <c r="B700" s="95"/>
      <c r="C700" s="52"/>
      <c r="D700" s="52"/>
      <c r="E700" s="52"/>
      <c r="F700" s="58"/>
      <c r="G700" s="58"/>
      <c r="H700" s="58"/>
      <c r="I700" s="58"/>
      <c r="J700" s="58"/>
      <c r="K700" s="58"/>
      <c r="L700" s="58"/>
      <c r="M700" s="58"/>
      <c r="N700" s="58"/>
      <c r="O700" s="58"/>
    </row>
    <row r="701">
      <c r="A701" s="95"/>
      <c r="B701" s="95"/>
      <c r="C701" s="52"/>
      <c r="D701" s="52"/>
      <c r="E701" s="52"/>
      <c r="F701" s="58"/>
      <c r="G701" s="58"/>
      <c r="H701" s="58"/>
      <c r="I701" s="58"/>
      <c r="J701" s="58"/>
      <c r="K701" s="58"/>
      <c r="L701" s="58"/>
      <c r="M701" s="58"/>
      <c r="N701" s="58"/>
      <c r="O701" s="58"/>
    </row>
    <row r="702">
      <c r="A702" s="95"/>
      <c r="B702" s="95"/>
      <c r="C702" s="52"/>
      <c r="D702" s="52"/>
      <c r="E702" s="52"/>
      <c r="F702" s="58"/>
      <c r="G702" s="58"/>
      <c r="H702" s="58"/>
      <c r="I702" s="58"/>
      <c r="J702" s="58"/>
      <c r="K702" s="58"/>
      <c r="L702" s="58"/>
      <c r="M702" s="58"/>
      <c r="N702" s="58"/>
      <c r="O702" s="58"/>
    </row>
    <row r="703">
      <c r="A703" s="95"/>
      <c r="B703" s="95"/>
      <c r="C703" s="52"/>
      <c r="D703" s="52"/>
      <c r="E703" s="52"/>
      <c r="F703" s="58"/>
      <c r="G703" s="58"/>
      <c r="H703" s="58"/>
      <c r="I703" s="58"/>
      <c r="J703" s="58"/>
      <c r="K703" s="58"/>
      <c r="L703" s="58"/>
      <c r="M703" s="58"/>
      <c r="N703" s="58"/>
      <c r="O703" s="58"/>
    </row>
    <row r="704">
      <c r="A704" s="95"/>
      <c r="B704" s="95"/>
      <c r="C704" s="52"/>
      <c r="D704" s="52"/>
      <c r="E704" s="52"/>
      <c r="F704" s="58"/>
      <c r="G704" s="58"/>
      <c r="H704" s="58"/>
      <c r="I704" s="58"/>
      <c r="J704" s="58"/>
      <c r="K704" s="58"/>
      <c r="L704" s="58"/>
      <c r="M704" s="58"/>
      <c r="N704" s="58"/>
      <c r="O704" s="58"/>
    </row>
    <row r="705">
      <c r="A705" s="95"/>
      <c r="B705" s="95"/>
      <c r="C705" s="52"/>
      <c r="D705" s="52"/>
      <c r="E705" s="52"/>
      <c r="F705" s="58"/>
      <c r="G705" s="58"/>
      <c r="H705" s="58"/>
      <c r="I705" s="58"/>
      <c r="J705" s="58"/>
      <c r="K705" s="58"/>
      <c r="L705" s="58"/>
      <c r="M705" s="58"/>
      <c r="N705" s="58"/>
      <c r="O705" s="58"/>
    </row>
    <row r="706">
      <c r="A706" s="95"/>
      <c r="B706" s="95"/>
      <c r="C706" s="52"/>
      <c r="D706" s="52"/>
      <c r="E706" s="52"/>
      <c r="F706" s="58"/>
      <c r="G706" s="58"/>
      <c r="H706" s="58"/>
      <c r="I706" s="58"/>
      <c r="J706" s="58"/>
      <c r="K706" s="58"/>
      <c r="L706" s="58"/>
      <c r="M706" s="58"/>
      <c r="N706" s="58"/>
      <c r="O706" s="58"/>
    </row>
    <row r="707">
      <c r="A707" s="95"/>
      <c r="B707" s="95"/>
      <c r="C707" s="52"/>
      <c r="D707" s="52"/>
      <c r="E707" s="52"/>
      <c r="F707" s="58"/>
      <c r="G707" s="58"/>
      <c r="H707" s="58"/>
      <c r="I707" s="58"/>
      <c r="J707" s="58"/>
      <c r="K707" s="58"/>
      <c r="L707" s="58"/>
      <c r="M707" s="58"/>
      <c r="N707" s="58"/>
      <c r="O707" s="58"/>
    </row>
    <row r="708">
      <c r="A708" s="95"/>
      <c r="B708" s="95"/>
      <c r="C708" s="52"/>
      <c r="D708" s="52"/>
      <c r="E708" s="52"/>
      <c r="F708" s="58"/>
      <c r="G708" s="58"/>
      <c r="H708" s="58"/>
      <c r="I708" s="58"/>
      <c r="J708" s="58"/>
      <c r="K708" s="58"/>
      <c r="L708" s="58"/>
      <c r="M708" s="58"/>
      <c r="N708" s="58"/>
      <c r="O708" s="58"/>
    </row>
    <row r="709">
      <c r="A709" s="95"/>
      <c r="B709" s="95"/>
      <c r="C709" s="52"/>
      <c r="D709" s="52"/>
      <c r="E709" s="52"/>
      <c r="F709" s="58"/>
      <c r="G709" s="58"/>
      <c r="H709" s="58"/>
      <c r="I709" s="58"/>
      <c r="J709" s="58"/>
      <c r="K709" s="58"/>
      <c r="L709" s="58"/>
      <c r="M709" s="58"/>
      <c r="N709" s="58"/>
      <c r="O709" s="58"/>
    </row>
    <row r="710">
      <c r="A710" s="95"/>
      <c r="B710" s="95"/>
      <c r="C710" s="52"/>
      <c r="D710" s="52"/>
      <c r="E710" s="52"/>
      <c r="F710" s="58"/>
      <c r="G710" s="58"/>
      <c r="H710" s="58"/>
      <c r="I710" s="58"/>
      <c r="J710" s="58"/>
      <c r="K710" s="58"/>
      <c r="L710" s="58"/>
      <c r="M710" s="58"/>
      <c r="N710" s="58"/>
      <c r="O710" s="58"/>
    </row>
    <row r="711">
      <c r="A711" s="95"/>
      <c r="B711" s="95"/>
      <c r="C711" s="52"/>
      <c r="D711" s="52"/>
      <c r="E711" s="52"/>
      <c r="F711" s="58"/>
      <c r="G711" s="58"/>
      <c r="H711" s="58"/>
      <c r="I711" s="58"/>
      <c r="J711" s="58"/>
      <c r="K711" s="58"/>
      <c r="L711" s="58"/>
      <c r="M711" s="58"/>
      <c r="N711" s="58"/>
      <c r="O711" s="58"/>
    </row>
    <row r="712">
      <c r="A712" s="95"/>
      <c r="B712" s="95"/>
      <c r="C712" s="52"/>
      <c r="D712" s="52"/>
      <c r="E712" s="52"/>
      <c r="F712" s="58"/>
      <c r="G712" s="58"/>
      <c r="H712" s="58"/>
      <c r="I712" s="58"/>
      <c r="J712" s="58"/>
      <c r="K712" s="58"/>
      <c r="L712" s="58"/>
      <c r="M712" s="58"/>
      <c r="N712" s="58"/>
      <c r="O712" s="58"/>
    </row>
    <row r="713">
      <c r="A713" s="95"/>
      <c r="B713" s="95"/>
      <c r="C713" s="52"/>
      <c r="D713" s="52"/>
      <c r="E713" s="52"/>
      <c r="F713" s="58"/>
      <c r="G713" s="58"/>
      <c r="H713" s="58"/>
      <c r="I713" s="58"/>
      <c r="J713" s="58"/>
      <c r="K713" s="58"/>
      <c r="L713" s="58"/>
      <c r="M713" s="58"/>
      <c r="N713" s="58"/>
      <c r="O713" s="58"/>
    </row>
    <row r="714">
      <c r="A714" s="95"/>
      <c r="B714" s="95"/>
      <c r="C714" s="52"/>
      <c r="D714" s="52"/>
      <c r="E714" s="52"/>
      <c r="F714" s="58"/>
      <c r="G714" s="58"/>
      <c r="H714" s="58"/>
      <c r="I714" s="58"/>
      <c r="J714" s="58"/>
      <c r="K714" s="58"/>
      <c r="L714" s="58"/>
      <c r="M714" s="58"/>
      <c r="N714" s="58"/>
      <c r="O714" s="58"/>
    </row>
    <row r="715">
      <c r="A715" s="95"/>
      <c r="B715" s="95"/>
      <c r="C715" s="52"/>
      <c r="D715" s="52"/>
      <c r="E715" s="52"/>
      <c r="F715" s="58"/>
      <c r="G715" s="58"/>
      <c r="H715" s="58"/>
      <c r="I715" s="58"/>
      <c r="J715" s="58"/>
      <c r="K715" s="58"/>
      <c r="L715" s="58"/>
      <c r="M715" s="58"/>
      <c r="N715" s="58"/>
      <c r="O715" s="58"/>
    </row>
    <row r="716">
      <c r="A716" s="95"/>
      <c r="B716" s="95"/>
      <c r="C716" s="52"/>
      <c r="D716" s="52"/>
      <c r="E716" s="52"/>
      <c r="F716" s="58"/>
      <c r="G716" s="58"/>
      <c r="H716" s="58"/>
      <c r="I716" s="58"/>
      <c r="J716" s="58"/>
      <c r="K716" s="58"/>
      <c r="L716" s="58"/>
      <c r="M716" s="58"/>
      <c r="N716" s="58"/>
      <c r="O716" s="58"/>
    </row>
    <row r="717">
      <c r="A717" s="95"/>
      <c r="B717" s="95"/>
      <c r="C717" s="52"/>
      <c r="D717" s="52"/>
      <c r="E717" s="52"/>
      <c r="F717" s="58"/>
      <c r="G717" s="58"/>
      <c r="H717" s="58"/>
      <c r="I717" s="58"/>
      <c r="J717" s="58"/>
      <c r="K717" s="58"/>
      <c r="L717" s="58"/>
      <c r="M717" s="58"/>
      <c r="N717" s="58"/>
      <c r="O717" s="58"/>
    </row>
    <row r="718">
      <c r="A718" s="95"/>
      <c r="B718" s="95"/>
      <c r="C718" s="52"/>
      <c r="D718" s="52"/>
      <c r="E718" s="52"/>
      <c r="F718" s="58"/>
      <c r="G718" s="58"/>
      <c r="H718" s="58"/>
      <c r="I718" s="58"/>
      <c r="J718" s="58"/>
      <c r="K718" s="58"/>
      <c r="L718" s="58"/>
      <c r="M718" s="58"/>
      <c r="N718" s="58"/>
      <c r="O718" s="58"/>
    </row>
    <row r="719">
      <c r="A719" s="95"/>
      <c r="B719" s="95"/>
      <c r="C719" s="52"/>
      <c r="D719" s="52"/>
      <c r="E719" s="52"/>
      <c r="F719" s="58"/>
      <c r="G719" s="58"/>
      <c r="H719" s="58"/>
      <c r="I719" s="58"/>
      <c r="J719" s="58"/>
      <c r="K719" s="58"/>
      <c r="L719" s="58"/>
      <c r="M719" s="58"/>
      <c r="N719" s="58"/>
      <c r="O719" s="58"/>
    </row>
    <row r="720">
      <c r="A720" s="95"/>
      <c r="B720" s="95"/>
      <c r="C720" s="52"/>
      <c r="D720" s="52"/>
      <c r="E720" s="52"/>
      <c r="F720" s="58"/>
      <c r="G720" s="58"/>
      <c r="H720" s="58"/>
      <c r="I720" s="58"/>
      <c r="J720" s="58"/>
      <c r="K720" s="58"/>
      <c r="L720" s="58"/>
      <c r="M720" s="58"/>
      <c r="N720" s="58"/>
      <c r="O720" s="58"/>
    </row>
    <row r="721">
      <c r="A721" s="95"/>
      <c r="B721" s="95"/>
      <c r="C721" s="52"/>
      <c r="D721" s="52"/>
      <c r="E721" s="52"/>
      <c r="F721" s="58"/>
      <c r="G721" s="58"/>
      <c r="H721" s="58"/>
      <c r="I721" s="58"/>
      <c r="J721" s="58"/>
      <c r="K721" s="58"/>
      <c r="L721" s="58"/>
      <c r="M721" s="58"/>
      <c r="N721" s="58"/>
      <c r="O721" s="58"/>
    </row>
    <row r="722">
      <c r="A722" s="95"/>
      <c r="B722" s="95"/>
      <c r="C722" s="52"/>
      <c r="D722" s="52"/>
      <c r="E722" s="52"/>
      <c r="F722" s="58"/>
      <c r="G722" s="58"/>
      <c r="H722" s="58"/>
      <c r="I722" s="58"/>
      <c r="J722" s="58"/>
      <c r="K722" s="58"/>
      <c r="L722" s="58"/>
      <c r="M722" s="58"/>
      <c r="N722" s="58"/>
      <c r="O722" s="58"/>
    </row>
    <row r="723">
      <c r="A723" s="95"/>
      <c r="B723" s="95"/>
      <c r="C723" s="52"/>
      <c r="D723" s="52"/>
      <c r="E723" s="52"/>
      <c r="F723" s="58"/>
      <c r="G723" s="58"/>
      <c r="H723" s="58"/>
      <c r="I723" s="58"/>
      <c r="J723" s="58"/>
      <c r="K723" s="58"/>
      <c r="L723" s="58"/>
      <c r="M723" s="58"/>
      <c r="N723" s="58"/>
      <c r="O723" s="58"/>
    </row>
    <row r="724">
      <c r="A724" s="95"/>
      <c r="B724" s="95"/>
      <c r="C724" s="52"/>
      <c r="D724" s="52"/>
      <c r="E724" s="52"/>
      <c r="F724" s="58"/>
      <c r="G724" s="58"/>
      <c r="H724" s="58"/>
      <c r="I724" s="58"/>
      <c r="J724" s="58"/>
      <c r="K724" s="58"/>
      <c r="L724" s="58"/>
      <c r="M724" s="58"/>
      <c r="N724" s="58"/>
      <c r="O724" s="58"/>
    </row>
    <row r="725">
      <c r="A725" s="95"/>
      <c r="B725" s="95"/>
      <c r="C725" s="52"/>
      <c r="D725" s="52"/>
      <c r="E725" s="52"/>
      <c r="F725" s="58"/>
      <c r="G725" s="58"/>
      <c r="H725" s="58"/>
      <c r="I725" s="58"/>
      <c r="J725" s="58"/>
      <c r="K725" s="58"/>
      <c r="L725" s="58"/>
      <c r="M725" s="58"/>
      <c r="N725" s="58"/>
      <c r="O725" s="58"/>
    </row>
    <row r="726">
      <c r="A726" s="95"/>
      <c r="B726" s="95"/>
      <c r="C726" s="52"/>
      <c r="D726" s="52"/>
      <c r="E726" s="52"/>
      <c r="F726" s="58"/>
      <c r="G726" s="58"/>
      <c r="H726" s="58"/>
      <c r="I726" s="58"/>
      <c r="J726" s="58"/>
      <c r="K726" s="58"/>
      <c r="L726" s="58"/>
      <c r="M726" s="58"/>
      <c r="N726" s="58"/>
      <c r="O726" s="58"/>
    </row>
    <row r="727">
      <c r="A727" s="95"/>
      <c r="B727" s="95"/>
      <c r="C727" s="52"/>
      <c r="D727" s="52"/>
      <c r="E727" s="52"/>
      <c r="F727" s="58"/>
      <c r="G727" s="58"/>
      <c r="H727" s="58"/>
      <c r="I727" s="58"/>
      <c r="J727" s="58"/>
      <c r="K727" s="58"/>
      <c r="L727" s="58"/>
      <c r="M727" s="58"/>
      <c r="N727" s="58"/>
      <c r="O727" s="58"/>
    </row>
    <row r="728">
      <c r="A728" s="95"/>
      <c r="B728" s="95"/>
      <c r="C728" s="52"/>
      <c r="D728" s="52"/>
      <c r="E728" s="52"/>
      <c r="F728" s="58"/>
      <c r="G728" s="58"/>
      <c r="H728" s="58"/>
      <c r="I728" s="58"/>
      <c r="J728" s="58"/>
      <c r="K728" s="58"/>
      <c r="L728" s="58"/>
      <c r="M728" s="58"/>
      <c r="N728" s="58"/>
      <c r="O728" s="58"/>
    </row>
    <row r="729">
      <c r="A729" s="95"/>
      <c r="B729" s="95"/>
      <c r="C729" s="52"/>
      <c r="D729" s="52"/>
      <c r="E729" s="52"/>
      <c r="F729" s="58"/>
      <c r="G729" s="58"/>
      <c r="H729" s="58"/>
      <c r="I729" s="58"/>
      <c r="J729" s="58"/>
      <c r="K729" s="58"/>
      <c r="L729" s="58"/>
      <c r="M729" s="58"/>
      <c r="N729" s="58"/>
      <c r="O729" s="58"/>
    </row>
    <row r="730">
      <c r="A730" s="95"/>
      <c r="B730" s="95"/>
      <c r="C730" s="52"/>
      <c r="D730" s="52"/>
      <c r="E730" s="52"/>
      <c r="F730" s="58"/>
      <c r="G730" s="58"/>
      <c r="H730" s="58"/>
      <c r="I730" s="58"/>
      <c r="J730" s="58"/>
      <c r="K730" s="58"/>
      <c r="L730" s="58"/>
      <c r="M730" s="58"/>
      <c r="N730" s="58"/>
      <c r="O730" s="58"/>
    </row>
    <row r="731">
      <c r="A731" s="95"/>
      <c r="B731" s="95"/>
      <c r="C731" s="52"/>
      <c r="D731" s="52"/>
      <c r="E731" s="52"/>
      <c r="F731" s="58"/>
      <c r="G731" s="58"/>
      <c r="H731" s="58"/>
      <c r="I731" s="58"/>
      <c r="J731" s="58"/>
      <c r="K731" s="58"/>
      <c r="L731" s="58"/>
      <c r="M731" s="58"/>
      <c r="N731" s="58"/>
      <c r="O731" s="58"/>
    </row>
    <row r="732">
      <c r="A732" s="95"/>
      <c r="B732" s="95"/>
      <c r="C732" s="52"/>
      <c r="D732" s="52"/>
      <c r="E732" s="52"/>
      <c r="F732" s="58"/>
      <c r="G732" s="58"/>
      <c r="H732" s="58"/>
      <c r="I732" s="58"/>
      <c r="J732" s="58"/>
      <c r="K732" s="58"/>
      <c r="L732" s="58"/>
      <c r="M732" s="58"/>
      <c r="N732" s="58"/>
      <c r="O732" s="58"/>
    </row>
    <row r="733">
      <c r="A733" s="95"/>
      <c r="B733" s="95"/>
      <c r="C733" s="52"/>
      <c r="D733" s="52"/>
      <c r="E733" s="52"/>
      <c r="F733" s="58"/>
      <c r="G733" s="58"/>
      <c r="H733" s="58"/>
      <c r="I733" s="58"/>
      <c r="J733" s="58"/>
      <c r="K733" s="58"/>
      <c r="L733" s="58"/>
      <c r="M733" s="58"/>
      <c r="N733" s="58"/>
      <c r="O733" s="58"/>
    </row>
    <row r="734">
      <c r="A734" s="95"/>
      <c r="B734" s="95"/>
      <c r="C734" s="52"/>
      <c r="D734" s="52"/>
      <c r="E734" s="52"/>
      <c r="F734" s="58"/>
      <c r="G734" s="58"/>
      <c r="H734" s="58"/>
      <c r="I734" s="58"/>
      <c r="J734" s="58"/>
      <c r="K734" s="58"/>
      <c r="L734" s="58"/>
      <c r="M734" s="58"/>
      <c r="N734" s="58"/>
      <c r="O734" s="58"/>
    </row>
    <row r="735">
      <c r="A735" s="95"/>
      <c r="B735" s="95"/>
      <c r="C735" s="52"/>
      <c r="D735" s="52"/>
      <c r="E735" s="52"/>
      <c r="F735" s="58"/>
      <c r="G735" s="58"/>
      <c r="H735" s="58"/>
      <c r="I735" s="58"/>
      <c r="J735" s="58"/>
      <c r="K735" s="58"/>
      <c r="L735" s="58"/>
      <c r="M735" s="58"/>
      <c r="N735" s="58"/>
      <c r="O735" s="58"/>
    </row>
    <row r="736">
      <c r="A736" s="95"/>
      <c r="B736" s="95"/>
      <c r="C736" s="52"/>
      <c r="D736" s="52"/>
      <c r="E736" s="52"/>
      <c r="F736" s="58"/>
      <c r="G736" s="58"/>
      <c r="H736" s="58"/>
      <c r="I736" s="58"/>
      <c r="J736" s="58"/>
      <c r="K736" s="58"/>
      <c r="L736" s="58"/>
      <c r="M736" s="58"/>
      <c r="N736" s="58"/>
      <c r="O736" s="58"/>
    </row>
    <row r="737">
      <c r="A737" s="95"/>
      <c r="B737" s="95"/>
      <c r="C737" s="52"/>
      <c r="D737" s="52"/>
      <c r="E737" s="52"/>
      <c r="F737" s="58"/>
      <c r="G737" s="58"/>
      <c r="H737" s="58"/>
      <c r="I737" s="58"/>
      <c r="J737" s="58"/>
      <c r="K737" s="58"/>
      <c r="L737" s="58"/>
      <c r="M737" s="58"/>
      <c r="N737" s="58"/>
      <c r="O737" s="58"/>
    </row>
    <row r="738">
      <c r="A738" s="95"/>
      <c r="B738" s="95"/>
      <c r="C738" s="52"/>
      <c r="D738" s="52"/>
      <c r="E738" s="52"/>
      <c r="F738" s="58"/>
      <c r="G738" s="58"/>
      <c r="H738" s="58"/>
      <c r="I738" s="58"/>
      <c r="J738" s="58"/>
      <c r="K738" s="58"/>
      <c r="L738" s="58"/>
      <c r="M738" s="58"/>
      <c r="N738" s="58"/>
      <c r="O738" s="58"/>
    </row>
    <row r="739">
      <c r="A739" s="95"/>
      <c r="B739" s="95"/>
      <c r="C739" s="52"/>
      <c r="D739" s="52"/>
      <c r="E739" s="52"/>
      <c r="F739" s="58"/>
      <c r="G739" s="58"/>
      <c r="H739" s="58"/>
      <c r="I739" s="58"/>
      <c r="J739" s="58"/>
      <c r="K739" s="58"/>
      <c r="L739" s="58"/>
      <c r="M739" s="58"/>
      <c r="N739" s="58"/>
      <c r="O739" s="58"/>
    </row>
    <row r="740">
      <c r="A740" s="95"/>
      <c r="B740" s="95"/>
      <c r="C740" s="52"/>
      <c r="D740" s="52"/>
      <c r="E740" s="52"/>
      <c r="F740" s="58"/>
      <c r="G740" s="58"/>
      <c r="H740" s="58"/>
      <c r="I740" s="58"/>
      <c r="J740" s="58"/>
      <c r="K740" s="58"/>
      <c r="L740" s="58"/>
      <c r="M740" s="58"/>
      <c r="N740" s="58"/>
      <c r="O740" s="58"/>
    </row>
    <row r="741">
      <c r="A741" s="95"/>
      <c r="B741" s="95"/>
      <c r="C741" s="52"/>
      <c r="D741" s="52"/>
      <c r="E741" s="52"/>
      <c r="F741" s="58"/>
      <c r="G741" s="58"/>
      <c r="H741" s="58"/>
      <c r="I741" s="58"/>
      <c r="J741" s="58"/>
      <c r="K741" s="58"/>
      <c r="L741" s="58"/>
      <c r="M741" s="58"/>
      <c r="N741" s="58"/>
      <c r="O741" s="58"/>
    </row>
    <row r="742">
      <c r="A742" s="95"/>
      <c r="B742" s="95"/>
      <c r="C742" s="52"/>
      <c r="D742" s="52"/>
      <c r="E742" s="52"/>
      <c r="F742" s="58"/>
      <c r="G742" s="58"/>
      <c r="H742" s="58"/>
      <c r="I742" s="58"/>
      <c r="J742" s="58"/>
      <c r="K742" s="58"/>
      <c r="L742" s="58"/>
      <c r="M742" s="58"/>
      <c r="N742" s="58"/>
      <c r="O742" s="58"/>
    </row>
    <row r="743">
      <c r="A743" s="95"/>
      <c r="B743" s="95"/>
      <c r="C743" s="52"/>
      <c r="D743" s="52"/>
      <c r="E743" s="52"/>
      <c r="F743" s="58"/>
      <c r="G743" s="58"/>
      <c r="H743" s="58"/>
      <c r="I743" s="58"/>
      <c r="J743" s="58"/>
      <c r="K743" s="58"/>
      <c r="L743" s="58"/>
      <c r="M743" s="58"/>
      <c r="N743" s="58"/>
      <c r="O743" s="58"/>
    </row>
    <row r="744">
      <c r="A744" s="95"/>
      <c r="B744" s="95"/>
      <c r="C744" s="52"/>
      <c r="D744" s="52"/>
      <c r="E744" s="52"/>
      <c r="F744" s="58"/>
      <c r="G744" s="58"/>
      <c r="H744" s="58"/>
      <c r="I744" s="58"/>
      <c r="J744" s="58"/>
      <c r="K744" s="58"/>
      <c r="L744" s="58"/>
      <c r="M744" s="58"/>
      <c r="N744" s="58"/>
      <c r="O744" s="58"/>
    </row>
    <row r="745">
      <c r="A745" s="95"/>
      <c r="B745" s="95"/>
      <c r="C745" s="52"/>
      <c r="D745" s="52"/>
      <c r="E745" s="52"/>
      <c r="F745" s="58"/>
      <c r="G745" s="58"/>
      <c r="H745" s="58"/>
      <c r="I745" s="58"/>
      <c r="J745" s="58"/>
      <c r="K745" s="58"/>
      <c r="L745" s="58"/>
      <c r="M745" s="58"/>
      <c r="N745" s="58"/>
      <c r="O745" s="58"/>
    </row>
    <row r="746">
      <c r="A746" s="95"/>
      <c r="B746" s="95"/>
      <c r="C746" s="52"/>
      <c r="D746" s="52"/>
      <c r="E746" s="52"/>
      <c r="F746" s="58"/>
      <c r="G746" s="58"/>
      <c r="H746" s="58"/>
      <c r="I746" s="58"/>
      <c r="J746" s="58"/>
      <c r="K746" s="58"/>
      <c r="L746" s="58"/>
      <c r="M746" s="58"/>
      <c r="N746" s="58"/>
      <c r="O746" s="58"/>
    </row>
    <row r="747">
      <c r="A747" s="95"/>
      <c r="B747" s="95"/>
      <c r="C747" s="52"/>
      <c r="D747" s="52"/>
      <c r="E747" s="52"/>
      <c r="F747" s="58"/>
      <c r="G747" s="58"/>
      <c r="H747" s="58"/>
      <c r="I747" s="58"/>
      <c r="J747" s="58"/>
      <c r="K747" s="58"/>
      <c r="L747" s="58"/>
      <c r="M747" s="58"/>
      <c r="N747" s="58"/>
      <c r="O747" s="58"/>
    </row>
    <row r="748">
      <c r="A748" s="95"/>
      <c r="B748" s="95"/>
      <c r="C748" s="52"/>
      <c r="D748" s="52"/>
      <c r="E748" s="52"/>
      <c r="F748" s="58"/>
      <c r="G748" s="58"/>
      <c r="H748" s="58"/>
      <c r="I748" s="58"/>
      <c r="J748" s="58"/>
      <c r="K748" s="58"/>
      <c r="L748" s="58"/>
      <c r="M748" s="58"/>
      <c r="N748" s="58"/>
      <c r="O748" s="58"/>
    </row>
    <row r="749">
      <c r="A749" s="95"/>
      <c r="B749" s="95"/>
      <c r="C749" s="52"/>
      <c r="D749" s="52"/>
      <c r="E749" s="52"/>
      <c r="F749" s="58"/>
      <c r="G749" s="58"/>
      <c r="H749" s="58"/>
      <c r="I749" s="58"/>
      <c r="J749" s="58"/>
      <c r="K749" s="58"/>
      <c r="L749" s="58"/>
      <c r="M749" s="58"/>
      <c r="N749" s="58"/>
      <c r="O749" s="58"/>
    </row>
    <row r="750">
      <c r="A750" s="95"/>
      <c r="B750" s="95"/>
      <c r="C750" s="52"/>
      <c r="D750" s="52"/>
      <c r="E750" s="52"/>
      <c r="F750" s="58"/>
      <c r="G750" s="58"/>
      <c r="H750" s="58"/>
      <c r="I750" s="58"/>
      <c r="J750" s="58"/>
      <c r="K750" s="58"/>
      <c r="L750" s="58"/>
      <c r="M750" s="58"/>
      <c r="N750" s="58"/>
      <c r="O750" s="58"/>
    </row>
    <row r="751">
      <c r="A751" s="95"/>
      <c r="B751" s="95"/>
      <c r="C751" s="52"/>
      <c r="D751" s="52"/>
      <c r="E751" s="52"/>
      <c r="F751" s="58"/>
      <c r="G751" s="58"/>
      <c r="H751" s="58"/>
      <c r="I751" s="58"/>
      <c r="J751" s="58"/>
      <c r="K751" s="58"/>
      <c r="L751" s="58"/>
      <c r="M751" s="58"/>
      <c r="N751" s="58"/>
      <c r="O751" s="58"/>
    </row>
    <row r="752">
      <c r="A752" s="95"/>
      <c r="B752" s="95"/>
      <c r="C752" s="52"/>
      <c r="D752" s="52"/>
      <c r="E752" s="52"/>
      <c r="F752" s="58"/>
      <c r="G752" s="58"/>
      <c r="H752" s="58"/>
      <c r="I752" s="58"/>
      <c r="J752" s="58"/>
      <c r="K752" s="58"/>
      <c r="L752" s="58"/>
      <c r="M752" s="58"/>
      <c r="N752" s="58"/>
      <c r="O752" s="58"/>
    </row>
    <row r="753">
      <c r="A753" s="95"/>
      <c r="B753" s="95"/>
      <c r="C753" s="52"/>
      <c r="D753" s="52"/>
      <c r="E753" s="52"/>
      <c r="F753" s="58"/>
      <c r="G753" s="58"/>
      <c r="H753" s="58"/>
      <c r="I753" s="58"/>
      <c r="J753" s="58"/>
      <c r="K753" s="58"/>
      <c r="L753" s="58"/>
      <c r="M753" s="58"/>
      <c r="N753" s="58"/>
      <c r="O753" s="58"/>
    </row>
    <row r="754">
      <c r="A754" s="95"/>
      <c r="B754" s="95"/>
      <c r="C754" s="52"/>
      <c r="D754" s="52"/>
      <c r="E754" s="52"/>
      <c r="F754" s="58"/>
      <c r="G754" s="58"/>
      <c r="H754" s="58"/>
      <c r="I754" s="58"/>
      <c r="J754" s="58"/>
      <c r="K754" s="58"/>
      <c r="L754" s="58"/>
      <c r="M754" s="58"/>
      <c r="N754" s="58"/>
      <c r="O754" s="58"/>
    </row>
    <row r="755">
      <c r="A755" s="95"/>
      <c r="B755" s="95"/>
      <c r="C755" s="52"/>
      <c r="D755" s="52"/>
      <c r="E755" s="52"/>
      <c r="F755" s="58"/>
      <c r="G755" s="58"/>
      <c r="H755" s="58"/>
      <c r="I755" s="58"/>
      <c r="J755" s="58"/>
      <c r="K755" s="58"/>
      <c r="L755" s="58"/>
      <c r="M755" s="58"/>
      <c r="N755" s="58"/>
      <c r="O755" s="58"/>
    </row>
    <row r="756">
      <c r="A756" s="95"/>
      <c r="B756" s="95"/>
      <c r="C756" s="52"/>
      <c r="D756" s="52"/>
      <c r="E756" s="52"/>
      <c r="F756" s="58"/>
      <c r="G756" s="58"/>
      <c r="H756" s="58"/>
      <c r="I756" s="58"/>
      <c r="J756" s="58"/>
      <c r="K756" s="58"/>
      <c r="L756" s="58"/>
      <c r="M756" s="58"/>
      <c r="N756" s="58"/>
      <c r="O756" s="58"/>
    </row>
    <row r="757">
      <c r="A757" s="95"/>
      <c r="B757" s="95"/>
      <c r="C757" s="52"/>
      <c r="D757" s="52"/>
      <c r="E757" s="52"/>
      <c r="F757" s="58"/>
      <c r="G757" s="58"/>
      <c r="H757" s="58"/>
      <c r="I757" s="58"/>
      <c r="J757" s="58"/>
      <c r="K757" s="58"/>
      <c r="L757" s="58"/>
      <c r="M757" s="58"/>
      <c r="N757" s="58"/>
      <c r="O757" s="58"/>
    </row>
    <row r="758">
      <c r="A758" s="95"/>
      <c r="B758" s="95"/>
      <c r="C758" s="52"/>
      <c r="D758" s="52"/>
      <c r="E758" s="52"/>
      <c r="F758" s="58"/>
      <c r="G758" s="58"/>
      <c r="H758" s="58"/>
      <c r="I758" s="58"/>
      <c r="J758" s="58"/>
      <c r="K758" s="58"/>
      <c r="L758" s="58"/>
      <c r="M758" s="58"/>
      <c r="N758" s="58"/>
      <c r="O758" s="58"/>
    </row>
    <row r="759">
      <c r="A759" s="95"/>
      <c r="B759" s="95"/>
      <c r="C759" s="52"/>
      <c r="D759" s="52"/>
      <c r="E759" s="52"/>
      <c r="F759" s="58"/>
      <c r="G759" s="58"/>
      <c r="H759" s="58"/>
      <c r="I759" s="58"/>
      <c r="J759" s="58"/>
      <c r="K759" s="58"/>
      <c r="L759" s="58"/>
      <c r="M759" s="58"/>
      <c r="N759" s="58"/>
      <c r="O759" s="58"/>
    </row>
    <row r="760">
      <c r="A760" s="95"/>
      <c r="B760" s="95"/>
      <c r="C760" s="52"/>
      <c r="D760" s="52"/>
      <c r="E760" s="52"/>
      <c r="F760" s="58"/>
      <c r="G760" s="58"/>
      <c r="H760" s="58"/>
      <c r="I760" s="58"/>
      <c r="J760" s="58"/>
      <c r="K760" s="58"/>
      <c r="L760" s="58"/>
      <c r="M760" s="58"/>
      <c r="N760" s="58"/>
      <c r="O760" s="58"/>
    </row>
    <row r="761">
      <c r="A761" s="95"/>
      <c r="B761" s="95"/>
      <c r="C761" s="52"/>
      <c r="D761" s="52"/>
      <c r="E761" s="52"/>
      <c r="F761" s="58"/>
      <c r="G761" s="58"/>
      <c r="H761" s="58"/>
      <c r="I761" s="58"/>
      <c r="J761" s="58"/>
      <c r="K761" s="58"/>
      <c r="L761" s="58"/>
      <c r="M761" s="58"/>
      <c r="N761" s="58"/>
      <c r="O761" s="58"/>
    </row>
    <row r="762">
      <c r="A762" s="95"/>
      <c r="B762" s="95"/>
      <c r="C762" s="52"/>
      <c r="D762" s="52"/>
      <c r="E762" s="52"/>
      <c r="F762" s="58"/>
      <c r="G762" s="58"/>
      <c r="H762" s="58"/>
      <c r="I762" s="58"/>
      <c r="J762" s="58"/>
      <c r="K762" s="58"/>
      <c r="L762" s="58"/>
      <c r="M762" s="58"/>
      <c r="N762" s="58"/>
      <c r="O762" s="58"/>
    </row>
    <row r="763">
      <c r="A763" s="95"/>
      <c r="B763" s="95"/>
      <c r="C763" s="52"/>
      <c r="D763" s="52"/>
      <c r="E763" s="52"/>
      <c r="F763" s="58"/>
      <c r="G763" s="58"/>
      <c r="H763" s="58"/>
      <c r="I763" s="58"/>
      <c r="J763" s="58"/>
      <c r="K763" s="58"/>
      <c r="L763" s="58"/>
      <c r="M763" s="58"/>
      <c r="N763" s="58"/>
      <c r="O763" s="58"/>
    </row>
    <row r="764">
      <c r="A764" s="95"/>
      <c r="B764" s="95"/>
      <c r="C764" s="52"/>
      <c r="D764" s="52"/>
      <c r="E764" s="52"/>
      <c r="F764" s="58"/>
      <c r="G764" s="58"/>
      <c r="H764" s="58"/>
      <c r="I764" s="58"/>
      <c r="J764" s="58"/>
      <c r="K764" s="58"/>
      <c r="L764" s="58"/>
      <c r="M764" s="58"/>
      <c r="N764" s="58"/>
      <c r="O764" s="58"/>
    </row>
    <row r="765">
      <c r="A765" s="95"/>
      <c r="B765" s="95"/>
      <c r="C765" s="52"/>
      <c r="D765" s="52"/>
      <c r="E765" s="52"/>
      <c r="F765" s="58"/>
      <c r="G765" s="58"/>
      <c r="H765" s="58"/>
      <c r="I765" s="58"/>
      <c r="J765" s="58"/>
      <c r="K765" s="58"/>
      <c r="L765" s="58"/>
      <c r="M765" s="58"/>
      <c r="N765" s="58"/>
      <c r="O765" s="58"/>
    </row>
    <row r="766">
      <c r="A766" s="95"/>
      <c r="B766" s="95"/>
      <c r="C766" s="52"/>
      <c r="D766" s="52"/>
      <c r="E766" s="52"/>
      <c r="F766" s="58"/>
      <c r="G766" s="58"/>
      <c r="H766" s="58"/>
      <c r="I766" s="58"/>
      <c r="J766" s="58"/>
      <c r="K766" s="58"/>
      <c r="L766" s="58"/>
      <c r="M766" s="58"/>
      <c r="N766" s="58"/>
      <c r="O766" s="58"/>
    </row>
    <row r="767">
      <c r="A767" s="95"/>
      <c r="B767" s="95"/>
      <c r="C767" s="52"/>
      <c r="D767" s="52"/>
      <c r="E767" s="52"/>
      <c r="F767" s="58"/>
      <c r="G767" s="58"/>
      <c r="H767" s="58"/>
      <c r="I767" s="58"/>
      <c r="J767" s="58"/>
      <c r="K767" s="58"/>
      <c r="L767" s="58"/>
      <c r="M767" s="58"/>
      <c r="N767" s="58"/>
      <c r="O767" s="58"/>
    </row>
    <row r="768">
      <c r="A768" s="95"/>
      <c r="B768" s="95"/>
      <c r="C768" s="52"/>
      <c r="D768" s="52"/>
      <c r="E768" s="52"/>
      <c r="F768" s="58"/>
      <c r="G768" s="58"/>
      <c r="H768" s="58"/>
      <c r="I768" s="58"/>
      <c r="J768" s="58"/>
      <c r="K768" s="58"/>
      <c r="L768" s="58"/>
      <c r="M768" s="58"/>
      <c r="N768" s="58"/>
      <c r="O768" s="58"/>
    </row>
    <row r="769">
      <c r="A769" s="95"/>
      <c r="B769" s="95"/>
      <c r="C769" s="52"/>
      <c r="D769" s="52"/>
      <c r="E769" s="52"/>
      <c r="F769" s="58"/>
      <c r="G769" s="58"/>
      <c r="H769" s="58"/>
      <c r="I769" s="58"/>
      <c r="J769" s="58"/>
      <c r="K769" s="58"/>
      <c r="L769" s="58"/>
      <c r="M769" s="58"/>
      <c r="N769" s="58"/>
      <c r="O769" s="58"/>
    </row>
    <row r="770">
      <c r="A770" s="95"/>
      <c r="B770" s="95"/>
      <c r="C770" s="52"/>
      <c r="D770" s="52"/>
      <c r="E770" s="52"/>
      <c r="F770" s="58"/>
      <c r="G770" s="58"/>
      <c r="H770" s="58"/>
      <c r="I770" s="58"/>
      <c r="J770" s="58"/>
      <c r="K770" s="58"/>
      <c r="L770" s="58"/>
      <c r="M770" s="58"/>
      <c r="N770" s="58"/>
      <c r="O770" s="58"/>
    </row>
    <row r="771">
      <c r="A771" s="95"/>
      <c r="B771" s="95"/>
      <c r="C771" s="52"/>
      <c r="D771" s="52"/>
      <c r="E771" s="52"/>
      <c r="F771" s="58"/>
      <c r="G771" s="58"/>
      <c r="H771" s="58"/>
      <c r="I771" s="58"/>
      <c r="J771" s="58"/>
      <c r="K771" s="58"/>
      <c r="L771" s="58"/>
      <c r="M771" s="58"/>
      <c r="N771" s="58"/>
      <c r="O771" s="58"/>
    </row>
    <row r="772">
      <c r="A772" s="95"/>
      <c r="B772" s="95"/>
      <c r="C772" s="52"/>
      <c r="D772" s="52"/>
      <c r="E772" s="52"/>
      <c r="F772" s="58"/>
      <c r="G772" s="58"/>
      <c r="H772" s="58"/>
      <c r="I772" s="58"/>
      <c r="J772" s="58"/>
      <c r="K772" s="58"/>
      <c r="L772" s="58"/>
      <c r="M772" s="58"/>
      <c r="N772" s="58"/>
      <c r="O772" s="58"/>
    </row>
    <row r="773">
      <c r="A773" s="95"/>
      <c r="B773" s="95"/>
      <c r="C773" s="52"/>
      <c r="D773" s="52"/>
      <c r="E773" s="52"/>
      <c r="F773" s="58"/>
      <c r="G773" s="58"/>
      <c r="H773" s="58"/>
      <c r="I773" s="58"/>
      <c r="J773" s="58"/>
      <c r="K773" s="58"/>
      <c r="L773" s="58"/>
      <c r="M773" s="58"/>
      <c r="N773" s="58"/>
      <c r="O773" s="58"/>
    </row>
    <row r="774">
      <c r="A774" s="95"/>
      <c r="B774" s="95"/>
      <c r="C774" s="52"/>
      <c r="D774" s="52"/>
      <c r="E774" s="52"/>
      <c r="F774" s="58"/>
      <c r="G774" s="58"/>
      <c r="H774" s="58"/>
      <c r="I774" s="58"/>
      <c r="J774" s="58"/>
      <c r="K774" s="58"/>
      <c r="L774" s="58"/>
      <c r="M774" s="58"/>
      <c r="N774" s="58"/>
      <c r="O774" s="58"/>
    </row>
    <row r="775">
      <c r="A775" s="95"/>
      <c r="B775" s="95"/>
      <c r="C775" s="52"/>
      <c r="D775" s="52"/>
      <c r="E775" s="52"/>
      <c r="F775" s="58"/>
      <c r="G775" s="58"/>
      <c r="H775" s="58"/>
      <c r="I775" s="58"/>
      <c r="J775" s="58"/>
      <c r="K775" s="58"/>
      <c r="L775" s="58"/>
      <c r="M775" s="58"/>
      <c r="N775" s="58"/>
      <c r="O775" s="58"/>
    </row>
    <row r="776">
      <c r="A776" s="95"/>
      <c r="B776" s="95"/>
      <c r="C776" s="52"/>
      <c r="D776" s="52"/>
      <c r="E776" s="52"/>
      <c r="F776" s="58"/>
      <c r="G776" s="58"/>
      <c r="H776" s="58"/>
      <c r="I776" s="58"/>
      <c r="J776" s="58"/>
      <c r="K776" s="58"/>
      <c r="L776" s="58"/>
      <c r="M776" s="58"/>
      <c r="N776" s="58"/>
      <c r="O776" s="58"/>
    </row>
    <row r="777">
      <c r="A777" s="95"/>
      <c r="B777" s="95"/>
      <c r="C777" s="52"/>
      <c r="D777" s="52"/>
      <c r="E777" s="52"/>
      <c r="F777" s="58"/>
      <c r="G777" s="58"/>
      <c r="H777" s="58"/>
      <c r="I777" s="58"/>
      <c r="J777" s="58"/>
      <c r="K777" s="58"/>
      <c r="L777" s="58"/>
      <c r="M777" s="58"/>
      <c r="N777" s="58"/>
      <c r="O777" s="58"/>
    </row>
    <row r="778">
      <c r="A778" s="95"/>
      <c r="B778" s="95"/>
      <c r="C778" s="52"/>
      <c r="D778" s="52"/>
      <c r="E778" s="52"/>
      <c r="F778" s="58"/>
      <c r="G778" s="58"/>
      <c r="H778" s="58"/>
      <c r="I778" s="58"/>
      <c r="J778" s="58"/>
      <c r="K778" s="58"/>
      <c r="L778" s="58"/>
      <c r="M778" s="58"/>
      <c r="N778" s="58"/>
      <c r="O778" s="58"/>
    </row>
    <row r="779">
      <c r="A779" s="95"/>
      <c r="B779" s="95"/>
      <c r="C779" s="52"/>
      <c r="D779" s="52"/>
      <c r="E779" s="52"/>
      <c r="F779" s="58"/>
      <c r="G779" s="58"/>
      <c r="H779" s="58"/>
      <c r="I779" s="58"/>
      <c r="J779" s="58"/>
      <c r="K779" s="58"/>
      <c r="L779" s="58"/>
      <c r="M779" s="58"/>
      <c r="N779" s="58"/>
      <c r="O779" s="58"/>
    </row>
    <row r="780">
      <c r="A780" s="95"/>
      <c r="B780" s="95"/>
      <c r="C780" s="52"/>
      <c r="D780" s="52"/>
      <c r="E780" s="52"/>
      <c r="F780" s="58"/>
      <c r="G780" s="58"/>
      <c r="H780" s="58"/>
      <c r="I780" s="58"/>
      <c r="J780" s="58"/>
      <c r="K780" s="58"/>
      <c r="L780" s="58"/>
      <c r="M780" s="58"/>
      <c r="N780" s="58"/>
      <c r="O780" s="58"/>
    </row>
    <row r="781">
      <c r="A781" s="95"/>
      <c r="B781" s="95"/>
      <c r="C781" s="52"/>
      <c r="D781" s="52"/>
      <c r="E781" s="52"/>
      <c r="F781" s="58"/>
      <c r="G781" s="58"/>
      <c r="H781" s="58"/>
      <c r="I781" s="58"/>
      <c r="J781" s="58"/>
      <c r="K781" s="58"/>
      <c r="L781" s="58"/>
      <c r="M781" s="58"/>
      <c r="N781" s="58"/>
      <c r="O781" s="58"/>
    </row>
    <row r="782">
      <c r="A782" s="95"/>
      <c r="B782" s="95"/>
      <c r="C782" s="52"/>
      <c r="D782" s="52"/>
      <c r="E782" s="52"/>
      <c r="F782" s="58"/>
      <c r="G782" s="58"/>
      <c r="H782" s="58"/>
      <c r="I782" s="58"/>
      <c r="J782" s="58"/>
      <c r="K782" s="58"/>
      <c r="L782" s="58"/>
      <c r="M782" s="58"/>
      <c r="N782" s="58"/>
      <c r="O782" s="58"/>
    </row>
    <row r="783">
      <c r="A783" s="95"/>
      <c r="B783" s="95"/>
      <c r="C783" s="52"/>
      <c r="D783" s="52"/>
      <c r="E783" s="52"/>
      <c r="F783" s="58"/>
      <c r="G783" s="58"/>
      <c r="H783" s="58"/>
      <c r="I783" s="58"/>
      <c r="J783" s="58"/>
      <c r="K783" s="58"/>
      <c r="L783" s="58"/>
      <c r="M783" s="58"/>
      <c r="N783" s="58"/>
      <c r="O783" s="58"/>
    </row>
    <row r="784">
      <c r="A784" s="95"/>
      <c r="B784" s="95"/>
      <c r="C784" s="52"/>
      <c r="D784" s="52"/>
      <c r="E784" s="52"/>
      <c r="F784" s="58"/>
      <c r="G784" s="58"/>
      <c r="H784" s="58"/>
      <c r="I784" s="58"/>
      <c r="J784" s="58"/>
      <c r="K784" s="58"/>
      <c r="L784" s="58"/>
      <c r="M784" s="58"/>
      <c r="N784" s="58"/>
      <c r="O784" s="58"/>
    </row>
    <row r="785">
      <c r="A785" s="95"/>
      <c r="B785" s="95"/>
      <c r="C785" s="52"/>
      <c r="D785" s="52"/>
      <c r="E785" s="52"/>
      <c r="F785" s="58"/>
      <c r="G785" s="58"/>
      <c r="H785" s="58"/>
      <c r="I785" s="58"/>
      <c r="J785" s="58"/>
      <c r="K785" s="58"/>
      <c r="L785" s="58"/>
      <c r="M785" s="58"/>
      <c r="N785" s="58"/>
      <c r="O785" s="58"/>
    </row>
    <row r="786">
      <c r="A786" s="95"/>
      <c r="B786" s="95"/>
      <c r="C786" s="52"/>
      <c r="D786" s="52"/>
      <c r="E786" s="52"/>
      <c r="F786" s="58"/>
      <c r="G786" s="58"/>
      <c r="H786" s="58"/>
      <c r="I786" s="58"/>
      <c r="J786" s="58"/>
      <c r="K786" s="58"/>
      <c r="L786" s="58"/>
      <c r="M786" s="58"/>
      <c r="N786" s="58"/>
      <c r="O786" s="58"/>
    </row>
    <row r="787">
      <c r="A787" s="95"/>
      <c r="B787" s="95"/>
      <c r="C787" s="52"/>
      <c r="D787" s="52"/>
      <c r="E787" s="52"/>
      <c r="F787" s="58"/>
      <c r="G787" s="58"/>
      <c r="H787" s="58"/>
      <c r="I787" s="58"/>
      <c r="J787" s="58"/>
      <c r="K787" s="58"/>
      <c r="L787" s="58"/>
      <c r="M787" s="58"/>
      <c r="N787" s="58"/>
      <c r="O787" s="58"/>
    </row>
    <row r="788">
      <c r="A788" s="95"/>
      <c r="B788" s="95"/>
      <c r="C788" s="52"/>
      <c r="D788" s="52"/>
      <c r="E788" s="52"/>
      <c r="F788" s="58"/>
      <c r="G788" s="58"/>
      <c r="H788" s="58"/>
      <c r="I788" s="58"/>
      <c r="J788" s="58"/>
      <c r="K788" s="58"/>
      <c r="L788" s="58"/>
      <c r="M788" s="58"/>
      <c r="N788" s="58"/>
      <c r="O788" s="58"/>
    </row>
    <row r="789">
      <c r="A789" s="95"/>
      <c r="B789" s="95"/>
      <c r="C789" s="52"/>
      <c r="D789" s="52"/>
      <c r="E789" s="52"/>
      <c r="F789" s="58"/>
      <c r="G789" s="58"/>
      <c r="H789" s="58"/>
      <c r="I789" s="58"/>
      <c r="J789" s="58"/>
      <c r="K789" s="58"/>
      <c r="L789" s="58"/>
      <c r="M789" s="58"/>
      <c r="N789" s="58"/>
      <c r="O789" s="58"/>
    </row>
    <row r="790">
      <c r="A790" s="95"/>
      <c r="B790" s="95"/>
      <c r="C790" s="52"/>
      <c r="D790" s="52"/>
      <c r="E790" s="52"/>
      <c r="F790" s="58"/>
      <c r="G790" s="58"/>
      <c r="H790" s="58"/>
      <c r="I790" s="58"/>
      <c r="J790" s="58"/>
      <c r="K790" s="58"/>
      <c r="L790" s="58"/>
      <c r="M790" s="58"/>
      <c r="N790" s="58"/>
      <c r="O790" s="58"/>
    </row>
    <row r="791">
      <c r="A791" s="95"/>
      <c r="B791" s="95"/>
      <c r="C791" s="52"/>
      <c r="D791" s="52"/>
      <c r="E791" s="52"/>
      <c r="F791" s="58"/>
      <c r="G791" s="58"/>
      <c r="H791" s="58"/>
      <c r="I791" s="58"/>
      <c r="J791" s="58"/>
      <c r="K791" s="58"/>
      <c r="L791" s="58"/>
      <c r="M791" s="58"/>
      <c r="N791" s="58"/>
      <c r="O791" s="58"/>
    </row>
    <row r="792">
      <c r="A792" s="95"/>
      <c r="B792" s="95"/>
      <c r="C792" s="52"/>
      <c r="D792" s="52"/>
      <c r="E792" s="52"/>
      <c r="F792" s="58"/>
      <c r="G792" s="58"/>
      <c r="H792" s="58"/>
      <c r="I792" s="58"/>
      <c r="J792" s="58"/>
      <c r="K792" s="58"/>
      <c r="L792" s="58"/>
      <c r="M792" s="58"/>
      <c r="N792" s="58"/>
      <c r="O792" s="58"/>
    </row>
    <row r="793">
      <c r="A793" s="95"/>
      <c r="B793" s="95"/>
      <c r="C793" s="52"/>
      <c r="D793" s="52"/>
      <c r="E793" s="52"/>
      <c r="F793" s="58"/>
      <c r="G793" s="58"/>
      <c r="H793" s="58"/>
      <c r="I793" s="58"/>
      <c r="J793" s="58"/>
      <c r="K793" s="58"/>
      <c r="L793" s="58"/>
      <c r="M793" s="58"/>
      <c r="N793" s="58"/>
      <c r="O793" s="58"/>
    </row>
    <row r="794">
      <c r="A794" s="95"/>
      <c r="B794" s="95"/>
      <c r="C794" s="52"/>
      <c r="D794" s="52"/>
      <c r="E794" s="52"/>
      <c r="F794" s="58"/>
      <c r="G794" s="58"/>
      <c r="H794" s="58"/>
      <c r="I794" s="58"/>
      <c r="J794" s="58"/>
      <c r="K794" s="58"/>
      <c r="L794" s="58"/>
      <c r="M794" s="58"/>
      <c r="N794" s="58"/>
      <c r="O794" s="58"/>
    </row>
    <row r="795">
      <c r="A795" s="95"/>
      <c r="B795" s="95"/>
      <c r="C795" s="52"/>
      <c r="D795" s="52"/>
      <c r="E795" s="52"/>
      <c r="F795" s="58"/>
      <c r="G795" s="58"/>
      <c r="H795" s="58"/>
      <c r="I795" s="58"/>
      <c r="J795" s="58"/>
      <c r="K795" s="58"/>
      <c r="L795" s="58"/>
      <c r="M795" s="58"/>
      <c r="N795" s="58"/>
      <c r="O795" s="58"/>
    </row>
    <row r="796">
      <c r="A796" s="95"/>
      <c r="B796" s="95"/>
      <c r="C796" s="52"/>
      <c r="D796" s="52"/>
      <c r="E796" s="52"/>
      <c r="F796" s="58"/>
      <c r="G796" s="58"/>
      <c r="H796" s="58"/>
      <c r="I796" s="58"/>
      <c r="J796" s="58"/>
      <c r="K796" s="58"/>
      <c r="L796" s="58"/>
      <c r="M796" s="58"/>
      <c r="N796" s="58"/>
      <c r="O796" s="58"/>
    </row>
    <row r="797">
      <c r="A797" s="95"/>
      <c r="B797" s="95"/>
      <c r="C797" s="52"/>
      <c r="D797" s="52"/>
      <c r="E797" s="52"/>
      <c r="F797" s="58"/>
      <c r="G797" s="58"/>
      <c r="H797" s="58"/>
      <c r="I797" s="58"/>
      <c r="J797" s="58"/>
      <c r="K797" s="58"/>
      <c r="L797" s="58"/>
      <c r="M797" s="58"/>
      <c r="N797" s="58"/>
      <c r="O797" s="58"/>
    </row>
    <row r="798">
      <c r="A798" s="95"/>
      <c r="B798" s="95"/>
      <c r="C798" s="52"/>
      <c r="D798" s="52"/>
      <c r="E798" s="52"/>
      <c r="F798" s="58"/>
      <c r="G798" s="58"/>
      <c r="H798" s="58"/>
      <c r="I798" s="58"/>
      <c r="J798" s="58"/>
      <c r="K798" s="58"/>
      <c r="L798" s="58"/>
      <c r="M798" s="58"/>
      <c r="N798" s="58"/>
      <c r="O798" s="58"/>
    </row>
    <row r="799">
      <c r="A799" s="95"/>
      <c r="B799" s="95"/>
      <c r="C799" s="52"/>
      <c r="D799" s="52"/>
      <c r="E799" s="52"/>
      <c r="F799" s="58"/>
      <c r="G799" s="58"/>
      <c r="H799" s="58"/>
      <c r="I799" s="58"/>
      <c r="J799" s="58"/>
      <c r="K799" s="58"/>
      <c r="L799" s="58"/>
      <c r="M799" s="58"/>
      <c r="N799" s="58"/>
      <c r="O799" s="58"/>
    </row>
    <row r="800">
      <c r="A800" s="95"/>
      <c r="B800" s="95"/>
      <c r="C800" s="52"/>
      <c r="D800" s="52"/>
      <c r="E800" s="52"/>
      <c r="F800" s="58"/>
      <c r="G800" s="58"/>
      <c r="H800" s="58"/>
      <c r="I800" s="58"/>
      <c r="J800" s="58"/>
      <c r="K800" s="58"/>
      <c r="L800" s="58"/>
      <c r="M800" s="58"/>
      <c r="N800" s="58"/>
      <c r="O800" s="58"/>
    </row>
    <row r="801">
      <c r="A801" s="95"/>
      <c r="B801" s="95"/>
      <c r="C801" s="52"/>
      <c r="D801" s="52"/>
      <c r="E801" s="52"/>
      <c r="F801" s="58"/>
      <c r="G801" s="58"/>
      <c r="H801" s="58"/>
      <c r="I801" s="58"/>
      <c r="J801" s="58"/>
      <c r="K801" s="58"/>
      <c r="L801" s="58"/>
      <c r="M801" s="58"/>
      <c r="N801" s="58"/>
      <c r="O801" s="58"/>
    </row>
    <row r="802">
      <c r="A802" s="95"/>
      <c r="B802" s="95"/>
      <c r="C802" s="52"/>
      <c r="D802" s="52"/>
      <c r="E802" s="52"/>
      <c r="F802" s="58"/>
      <c r="G802" s="58"/>
      <c r="H802" s="58"/>
      <c r="I802" s="58"/>
      <c r="J802" s="58"/>
      <c r="K802" s="58"/>
      <c r="L802" s="58"/>
      <c r="M802" s="58"/>
      <c r="N802" s="58"/>
      <c r="O802" s="58"/>
    </row>
    <row r="803">
      <c r="A803" s="95"/>
      <c r="B803" s="95"/>
      <c r="C803" s="52"/>
      <c r="D803" s="52"/>
      <c r="E803" s="52"/>
      <c r="F803" s="58"/>
      <c r="G803" s="58"/>
      <c r="H803" s="58"/>
      <c r="I803" s="58"/>
      <c r="J803" s="58"/>
      <c r="K803" s="58"/>
      <c r="L803" s="58"/>
      <c r="M803" s="58"/>
      <c r="N803" s="58"/>
      <c r="O803" s="58"/>
    </row>
    <row r="804">
      <c r="A804" s="95"/>
      <c r="B804" s="95"/>
      <c r="C804" s="52"/>
      <c r="D804" s="52"/>
      <c r="E804" s="52"/>
      <c r="F804" s="58"/>
      <c r="G804" s="58"/>
      <c r="H804" s="58"/>
      <c r="I804" s="58"/>
      <c r="J804" s="58"/>
      <c r="K804" s="58"/>
      <c r="L804" s="58"/>
      <c r="M804" s="58"/>
      <c r="N804" s="58"/>
      <c r="O804" s="58"/>
    </row>
    <row r="805">
      <c r="A805" s="95"/>
      <c r="B805" s="95"/>
      <c r="C805" s="52"/>
      <c r="D805" s="52"/>
      <c r="E805" s="52"/>
      <c r="F805" s="58"/>
      <c r="G805" s="58"/>
      <c r="H805" s="58"/>
      <c r="I805" s="58"/>
      <c r="J805" s="58"/>
      <c r="K805" s="58"/>
      <c r="L805" s="58"/>
      <c r="M805" s="58"/>
      <c r="N805" s="58"/>
      <c r="O805" s="58"/>
    </row>
    <row r="806">
      <c r="A806" s="95"/>
      <c r="B806" s="95"/>
      <c r="C806" s="52"/>
      <c r="D806" s="52"/>
      <c r="E806" s="52"/>
      <c r="F806" s="58"/>
      <c r="G806" s="58"/>
      <c r="H806" s="58"/>
      <c r="I806" s="58"/>
      <c r="J806" s="58"/>
      <c r="K806" s="58"/>
      <c r="L806" s="58"/>
      <c r="M806" s="58"/>
      <c r="N806" s="58"/>
      <c r="O806" s="58"/>
    </row>
    <row r="807">
      <c r="A807" s="95"/>
      <c r="B807" s="95"/>
      <c r="C807" s="52"/>
      <c r="D807" s="52"/>
      <c r="E807" s="52"/>
      <c r="F807" s="58"/>
      <c r="G807" s="58"/>
      <c r="H807" s="58"/>
      <c r="I807" s="58"/>
      <c r="J807" s="58"/>
      <c r="K807" s="58"/>
      <c r="L807" s="58"/>
      <c r="M807" s="58"/>
      <c r="N807" s="58"/>
      <c r="O807" s="58"/>
    </row>
    <row r="808">
      <c r="A808" s="95"/>
      <c r="B808" s="95"/>
      <c r="C808" s="52"/>
      <c r="D808" s="52"/>
      <c r="E808" s="52"/>
      <c r="F808" s="58"/>
      <c r="G808" s="58"/>
      <c r="H808" s="58"/>
      <c r="I808" s="58"/>
      <c r="J808" s="58"/>
      <c r="K808" s="58"/>
      <c r="L808" s="58"/>
      <c r="M808" s="58"/>
      <c r="N808" s="58"/>
      <c r="O808" s="58"/>
    </row>
    <row r="809">
      <c r="A809" s="95"/>
      <c r="B809" s="95"/>
      <c r="C809" s="52"/>
      <c r="D809" s="52"/>
      <c r="E809" s="52"/>
      <c r="F809" s="58"/>
      <c r="G809" s="58"/>
      <c r="H809" s="58"/>
      <c r="I809" s="58"/>
      <c r="J809" s="58"/>
      <c r="K809" s="58"/>
      <c r="L809" s="58"/>
      <c r="M809" s="58"/>
      <c r="N809" s="58"/>
      <c r="O809" s="58"/>
    </row>
    <row r="810">
      <c r="A810" s="95"/>
      <c r="B810" s="95"/>
      <c r="C810" s="52"/>
      <c r="D810" s="52"/>
      <c r="E810" s="52"/>
      <c r="F810" s="58"/>
      <c r="G810" s="58"/>
      <c r="H810" s="58"/>
      <c r="I810" s="58"/>
      <c r="J810" s="58"/>
      <c r="K810" s="58"/>
      <c r="L810" s="58"/>
      <c r="M810" s="58"/>
      <c r="N810" s="58"/>
      <c r="O810" s="58"/>
    </row>
    <row r="811">
      <c r="A811" s="95"/>
      <c r="B811" s="95"/>
      <c r="C811" s="52"/>
      <c r="D811" s="52"/>
      <c r="E811" s="52"/>
      <c r="F811" s="58"/>
      <c r="G811" s="58"/>
      <c r="H811" s="58"/>
      <c r="I811" s="58"/>
      <c r="J811" s="58"/>
      <c r="K811" s="58"/>
      <c r="L811" s="58"/>
      <c r="M811" s="58"/>
      <c r="N811" s="58"/>
      <c r="O811" s="58"/>
    </row>
    <row r="812">
      <c r="A812" s="95"/>
      <c r="B812" s="95"/>
      <c r="C812" s="52"/>
      <c r="D812" s="52"/>
      <c r="E812" s="52"/>
      <c r="F812" s="58"/>
      <c r="G812" s="58"/>
      <c r="H812" s="58"/>
      <c r="I812" s="58"/>
      <c r="J812" s="58"/>
      <c r="K812" s="58"/>
      <c r="L812" s="58"/>
      <c r="M812" s="58"/>
      <c r="N812" s="58"/>
      <c r="O812" s="58"/>
    </row>
    <row r="813">
      <c r="A813" s="95"/>
      <c r="B813" s="95"/>
      <c r="C813" s="52"/>
      <c r="D813" s="52"/>
      <c r="E813" s="52"/>
      <c r="F813" s="58"/>
      <c r="G813" s="58"/>
      <c r="H813" s="58"/>
      <c r="I813" s="58"/>
      <c r="J813" s="58"/>
      <c r="K813" s="58"/>
      <c r="L813" s="58"/>
      <c r="M813" s="58"/>
      <c r="N813" s="58"/>
      <c r="O813" s="58"/>
    </row>
    <row r="814">
      <c r="A814" s="95"/>
      <c r="B814" s="95"/>
      <c r="C814" s="52"/>
      <c r="D814" s="52"/>
      <c r="E814" s="52"/>
      <c r="F814" s="58"/>
      <c r="G814" s="58"/>
      <c r="H814" s="58"/>
      <c r="I814" s="58"/>
      <c r="J814" s="58"/>
      <c r="K814" s="58"/>
      <c r="L814" s="58"/>
      <c r="M814" s="58"/>
      <c r="N814" s="58"/>
      <c r="O814" s="58"/>
    </row>
    <row r="815">
      <c r="A815" s="95"/>
      <c r="B815" s="95"/>
      <c r="C815" s="52"/>
      <c r="D815" s="52"/>
      <c r="E815" s="52"/>
      <c r="F815" s="58"/>
      <c r="G815" s="58"/>
      <c r="H815" s="58"/>
      <c r="I815" s="58"/>
      <c r="J815" s="58"/>
      <c r="K815" s="58"/>
      <c r="L815" s="58"/>
      <c r="M815" s="58"/>
      <c r="N815" s="58"/>
      <c r="O815" s="58"/>
    </row>
    <row r="816">
      <c r="A816" s="95"/>
      <c r="B816" s="95"/>
      <c r="C816" s="52"/>
      <c r="D816" s="52"/>
      <c r="E816" s="52"/>
      <c r="F816" s="58"/>
      <c r="G816" s="58"/>
      <c r="H816" s="58"/>
      <c r="I816" s="58"/>
      <c r="J816" s="58"/>
      <c r="K816" s="58"/>
      <c r="L816" s="58"/>
      <c r="M816" s="58"/>
      <c r="N816" s="58"/>
      <c r="O816" s="58"/>
    </row>
    <row r="817">
      <c r="A817" s="95"/>
      <c r="B817" s="95"/>
      <c r="C817" s="52"/>
      <c r="D817" s="52"/>
      <c r="E817" s="52"/>
      <c r="F817" s="58"/>
      <c r="G817" s="58"/>
      <c r="H817" s="58"/>
      <c r="I817" s="58"/>
      <c r="J817" s="58"/>
      <c r="K817" s="58"/>
      <c r="L817" s="58"/>
      <c r="M817" s="58"/>
      <c r="N817" s="58"/>
      <c r="O817" s="58"/>
    </row>
    <row r="818">
      <c r="A818" s="95"/>
      <c r="B818" s="95"/>
      <c r="C818" s="52"/>
      <c r="D818" s="52"/>
      <c r="E818" s="52"/>
      <c r="F818" s="58"/>
      <c r="G818" s="58"/>
      <c r="H818" s="58"/>
      <c r="I818" s="58"/>
      <c r="J818" s="58"/>
      <c r="K818" s="58"/>
      <c r="L818" s="58"/>
      <c r="M818" s="58"/>
      <c r="N818" s="58"/>
      <c r="O818" s="58"/>
    </row>
    <row r="819">
      <c r="A819" s="95"/>
      <c r="B819" s="95"/>
      <c r="C819" s="52"/>
      <c r="D819" s="52"/>
      <c r="E819" s="52"/>
      <c r="F819" s="58"/>
      <c r="G819" s="58"/>
      <c r="H819" s="58"/>
      <c r="I819" s="58"/>
      <c r="J819" s="58"/>
      <c r="K819" s="58"/>
      <c r="L819" s="58"/>
      <c r="M819" s="58"/>
      <c r="N819" s="58"/>
      <c r="O819" s="58"/>
    </row>
    <row r="820">
      <c r="A820" s="95"/>
      <c r="B820" s="95"/>
      <c r="C820" s="52"/>
      <c r="D820" s="52"/>
      <c r="E820" s="52"/>
      <c r="F820" s="58"/>
      <c r="G820" s="58"/>
      <c r="H820" s="58"/>
      <c r="I820" s="58"/>
      <c r="J820" s="58"/>
      <c r="K820" s="58"/>
      <c r="L820" s="58"/>
      <c r="M820" s="58"/>
      <c r="N820" s="58"/>
      <c r="O820" s="58"/>
    </row>
    <row r="821">
      <c r="A821" s="95"/>
      <c r="B821" s="95"/>
      <c r="C821" s="52"/>
      <c r="D821" s="52"/>
      <c r="E821" s="52"/>
      <c r="F821" s="58"/>
      <c r="G821" s="58"/>
      <c r="H821" s="58"/>
      <c r="I821" s="58"/>
      <c r="J821" s="58"/>
      <c r="K821" s="58"/>
      <c r="L821" s="58"/>
      <c r="M821" s="58"/>
      <c r="N821" s="58"/>
      <c r="O821" s="58"/>
    </row>
    <row r="822">
      <c r="A822" s="95"/>
      <c r="B822" s="95"/>
      <c r="C822" s="52"/>
      <c r="D822" s="52"/>
      <c r="E822" s="52"/>
      <c r="F822" s="58"/>
      <c r="G822" s="58"/>
      <c r="H822" s="58"/>
      <c r="I822" s="58"/>
      <c r="J822" s="58"/>
      <c r="K822" s="58"/>
      <c r="L822" s="58"/>
      <c r="M822" s="58"/>
      <c r="N822" s="58"/>
      <c r="O822" s="58"/>
    </row>
    <row r="823">
      <c r="A823" s="95"/>
      <c r="B823" s="95"/>
      <c r="C823" s="52"/>
      <c r="D823" s="52"/>
      <c r="E823" s="52"/>
      <c r="F823" s="58"/>
      <c r="G823" s="58"/>
      <c r="H823" s="58"/>
      <c r="I823" s="58"/>
      <c r="J823" s="58"/>
      <c r="K823" s="58"/>
      <c r="L823" s="58"/>
      <c r="M823" s="58"/>
      <c r="N823" s="58"/>
      <c r="O823" s="58"/>
    </row>
    <row r="824">
      <c r="A824" s="95"/>
      <c r="B824" s="95"/>
      <c r="C824" s="52"/>
      <c r="D824" s="52"/>
      <c r="E824" s="52"/>
      <c r="F824" s="58"/>
      <c r="G824" s="58"/>
      <c r="H824" s="58"/>
      <c r="I824" s="58"/>
      <c r="J824" s="58"/>
      <c r="K824" s="58"/>
      <c r="L824" s="58"/>
      <c r="M824" s="58"/>
      <c r="N824" s="58"/>
      <c r="O824" s="58"/>
    </row>
    <row r="825">
      <c r="A825" s="95"/>
      <c r="B825" s="95"/>
      <c r="C825" s="52"/>
      <c r="D825" s="52"/>
      <c r="E825" s="52"/>
      <c r="F825" s="58"/>
      <c r="G825" s="58"/>
      <c r="H825" s="58"/>
      <c r="I825" s="58"/>
      <c r="J825" s="58"/>
      <c r="K825" s="58"/>
      <c r="L825" s="58"/>
      <c r="M825" s="58"/>
      <c r="N825" s="58"/>
      <c r="O825" s="58"/>
    </row>
    <row r="826">
      <c r="A826" s="95"/>
      <c r="B826" s="95"/>
      <c r="C826" s="52"/>
      <c r="D826" s="52"/>
      <c r="E826" s="52"/>
      <c r="F826" s="58"/>
      <c r="G826" s="58"/>
      <c r="H826" s="58"/>
      <c r="I826" s="58"/>
      <c r="J826" s="58"/>
      <c r="K826" s="58"/>
      <c r="L826" s="58"/>
      <c r="M826" s="58"/>
      <c r="N826" s="58"/>
      <c r="O826" s="58"/>
    </row>
    <row r="827">
      <c r="A827" s="95"/>
      <c r="B827" s="95"/>
      <c r="C827" s="52"/>
      <c r="D827" s="52"/>
      <c r="E827" s="52"/>
      <c r="F827" s="58"/>
      <c r="G827" s="58"/>
      <c r="H827" s="58"/>
      <c r="I827" s="58"/>
      <c r="J827" s="58"/>
      <c r="K827" s="58"/>
      <c r="L827" s="58"/>
      <c r="M827" s="58"/>
      <c r="N827" s="58"/>
      <c r="O827" s="58"/>
    </row>
    <row r="828">
      <c r="A828" s="95"/>
      <c r="B828" s="95"/>
      <c r="C828" s="52"/>
      <c r="D828" s="52"/>
      <c r="E828" s="52"/>
      <c r="F828" s="58"/>
      <c r="G828" s="58"/>
      <c r="H828" s="58"/>
      <c r="I828" s="58"/>
      <c r="J828" s="58"/>
      <c r="K828" s="58"/>
      <c r="L828" s="58"/>
      <c r="M828" s="58"/>
      <c r="N828" s="58"/>
      <c r="O828" s="58"/>
    </row>
    <row r="829">
      <c r="A829" s="95"/>
      <c r="B829" s="95"/>
      <c r="C829" s="52"/>
      <c r="D829" s="52"/>
      <c r="E829" s="52"/>
      <c r="F829" s="58"/>
      <c r="G829" s="58"/>
      <c r="H829" s="58"/>
      <c r="I829" s="58"/>
      <c r="J829" s="58"/>
      <c r="K829" s="58"/>
      <c r="L829" s="58"/>
      <c r="M829" s="58"/>
      <c r="N829" s="58"/>
      <c r="O829" s="58"/>
    </row>
    <row r="830">
      <c r="A830" s="95"/>
      <c r="B830" s="95"/>
      <c r="C830" s="52"/>
      <c r="D830" s="52"/>
      <c r="E830" s="52"/>
      <c r="F830" s="58"/>
      <c r="G830" s="58"/>
      <c r="H830" s="58"/>
      <c r="I830" s="58"/>
      <c r="J830" s="58"/>
      <c r="K830" s="58"/>
      <c r="L830" s="58"/>
      <c r="M830" s="58"/>
      <c r="N830" s="58"/>
      <c r="O830" s="58"/>
    </row>
    <row r="831">
      <c r="A831" s="95"/>
      <c r="B831" s="95"/>
      <c r="C831" s="52"/>
      <c r="D831" s="52"/>
      <c r="E831" s="52"/>
      <c r="F831" s="58"/>
      <c r="G831" s="58"/>
      <c r="H831" s="58"/>
      <c r="I831" s="58"/>
      <c r="J831" s="58"/>
      <c r="K831" s="58"/>
      <c r="L831" s="58"/>
      <c r="M831" s="58"/>
      <c r="N831" s="58"/>
      <c r="O831" s="58"/>
    </row>
    <row r="832">
      <c r="A832" s="95"/>
      <c r="B832" s="95"/>
      <c r="C832" s="52"/>
      <c r="D832" s="52"/>
      <c r="E832" s="52"/>
      <c r="F832" s="58"/>
      <c r="G832" s="58"/>
      <c r="H832" s="58"/>
      <c r="I832" s="58"/>
      <c r="J832" s="58"/>
      <c r="K832" s="58"/>
      <c r="L832" s="58"/>
      <c r="M832" s="58"/>
      <c r="N832" s="58"/>
      <c r="O832" s="58"/>
    </row>
    <row r="833">
      <c r="A833" s="95"/>
      <c r="B833" s="95"/>
      <c r="C833" s="52"/>
      <c r="D833" s="52"/>
      <c r="E833" s="52"/>
      <c r="F833" s="58"/>
      <c r="G833" s="58"/>
      <c r="H833" s="58"/>
      <c r="I833" s="58"/>
      <c r="J833" s="58"/>
      <c r="K833" s="58"/>
      <c r="L833" s="58"/>
      <c r="M833" s="58"/>
      <c r="N833" s="58"/>
      <c r="O833" s="58"/>
    </row>
    <row r="834">
      <c r="A834" s="95"/>
      <c r="B834" s="95"/>
      <c r="C834" s="52"/>
      <c r="D834" s="52"/>
      <c r="E834" s="52"/>
      <c r="F834" s="58"/>
      <c r="G834" s="58"/>
      <c r="H834" s="58"/>
      <c r="I834" s="58"/>
      <c r="J834" s="58"/>
      <c r="K834" s="58"/>
      <c r="L834" s="58"/>
      <c r="M834" s="58"/>
      <c r="N834" s="58"/>
      <c r="O834" s="58"/>
    </row>
    <row r="835">
      <c r="A835" s="95"/>
      <c r="B835" s="95"/>
      <c r="C835" s="52"/>
      <c r="D835" s="52"/>
      <c r="E835" s="52"/>
      <c r="F835" s="58"/>
      <c r="G835" s="58"/>
      <c r="H835" s="58"/>
      <c r="I835" s="58"/>
      <c r="J835" s="58"/>
      <c r="K835" s="58"/>
      <c r="L835" s="58"/>
      <c r="M835" s="58"/>
      <c r="N835" s="58"/>
      <c r="O835" s="58"/>
    </row>
    <row r="836">
      <c r="A836" s="95"/>
      <c r="B836" s="95"/>
      <c r="C836" s="52"/>
      <c r="D836" s="52"/>
      <c r="E836" s="52"/>
      <c r="F836" s="58"/>
      <c r="G836" s="58"/>
      <c r="H836" s="58"/>
      <c r="I836" s="58"/>
      <c r="J836" s="58"/>
      <c r="K836" s="58"/>
      <c r="L836" s="58"/>
      <c r="M836" s="58"/>
      <c r="N836" s="58"/>
      <c r="O836" s="58"/>
    </row>
    <row r="837">
      <c r="A837" s="95"/>
      <c r="B837" s="95"/>
      <c r="C837" s="52"/>
      <c r="D837" s="52"/>
      <c r="E837" s="52"/>
      <c r="F837" s="58"/>
      <c r="G837" s="58"/>
      <c r="H837" s="58"/>
      <c r="I837" s="58"/>
      <c r="J837" s="58"/>
      <c r="K837" s="58"/>
      <c r="L837" s="58"/>
      <c r="M837" s="58"/>
      <c r="N837" s="58"/>
      <c r="O837" s="58"/>
    </row>
    <row r="838">
      <c r="A838" s="95"/>
      <c r="B838" s="95"/>
      <c r="C838" s="52"/>
      <c r="D838" s="52"/>
      <c r="E838" s="52"/>
      <c r="F838" s="58"/>
      <c r="G838" s="58"/>
      <c r="H838" s="58"/>
      <c r="I838" s="58"/>
      <c r="J838" s="58"/>
      <c r="K838" s="58"/>
      <c r="L838" s="58"/>
      <c r="M838" s="58"/>
      <c r="N838" s="58"/>
      <c r="O838" s="58"/>
    </row>
    <row r="839">
      <c r="A839" s="95"/>
      <c r="B839" s="95"/>
      <c r="C839" s="52"/>
      <c r="D839" s="52"/>
      <c r="E839" s="52"/>
      <c r="F839" s="58"/>
      <c r="G839" s="58"/>
      <c r="H839" s="58"/>
      <c r="I839" s="58"/>
      <c r="J839" s="58"/>
      <c r="K839" s="58"/>
      <c r="L839" s="58"/>
      <c r="M839" s="58"/>
      <c r="N839" s="58"/>
      <c r="O839" s="58"/>
    </row>
    <row r="840">
      <c r="A840" s="95"/>
      <c r="B840" s="95"/>
      <c r="C840" s="52"/>
      <c r="D840" s="52"/>
      <c r="E840" s="52"/>
      <c r="F840" s="58"/>
      <c r="G840" s="58"/>
      <c r="H840" s="58"/>
      <c r="I840" s="58"/>
      <c r="J840" s="58"/>
      <c r="K840" s="58"/>
      <c r="L840" s="58"/>
      <c r="M840" s="58"/>
      <c r="N840" s="58"/>
      <c r="O840" s="58"/>
    </row>
    <row r="841">
      <c r="A841" s="95"/>
      <c r="B841" s="95"/>
      <c r="C841" s="52"/>
      <c r="D841" s="52"/>
      <c r="E841" s="52"/>
      <c r="F841" s="58"/>
      <c r="G841" s="58"/>
      <c r="H841" s="58"/>
      <c r="I841" s="58"/>
      <c r="J841" s="58"/>
      <c r="K841" s="58"/>
      <c r="L841" s="58"/>
      <c r="M841" s="58"/>
      <c r="N841" s="58"/>
      <c r="O841" s="58"/>
    </row>
    <row r="842">
      <c r="A842" s="95"/>
      <c r="B842" s="95"/>
      <c r="C842" s="52"/>
      <c r="D842" s="52"/>
      <c r="E842" s="52"/>
      <c r="F842" s="58"/>
      <c r="G842" s="58"/>
      <c r="H842" s="58"/>
      <c r="I842" s="58"/>
      <c r="J842" s="58"/>
      <c r="K842" s="58"/>
      <c r="L842" s="58"/>
      <c r="M842" s="58"/>
      <c r="N842" s="58"/>
      <c r="O842" s="58"/>
    </row>
    <row r="843">
      <c r="A843" s="95"/>
      <c r="B843" s="95"/>
      <c r="C843" s="52"/>
      <c r="D843" s="52"/>
      <c r="E843" s="52"/>
      <c r="F843" s="58"/>
      <c r="G843" s="58"/>
      <c r="H843" s="58"/>
      <c r="I843" s="58"/>
      <c r="J843" s="58"/>
      <c r="K843" s="58"/>
      <c r="L843" s="58"/>
      <c r="M843" s="58"/>
      <c r="N843" s="58"/>
      <c r="O843" s="58"/>
    </row>
    <row r="844">
      <c r="A844" s="95"/>
      <c r="B844" s="95"/>
      <c r="C844" s="52"/>
      <c r="D844" s="52"/>
      <c r="E844" s="52"/>
      <c r="F844" s="58"/>
      <c r="G844" s="58"/>
      <c r="H844" s="58"/>
      <c r="I844" s="58"/>
      <c r="J844" s="58"/>
      <c r="K844" s="58"/>
      <c r="L844" s="58"/>
      <c r="M844" s="58"/>
      <c r="N844" s="58"/>
      <c r="O844" s="58"/>
    </row>
    <row r="845">
      <c r="A845" s="95"/>
      <c r="B845" s="95"/>
      <c r="C845" s="52"/>
      <c r="D845" s="52"/>
      <c r="E845" s="52"/>
      <c r="F845" s="58"/>
      <c r="G845" s="58"/>
      <c r="H845" s="58"/>
      <c r="I845" s="58"/>
      <c r="J845" s="58"/>
      <c r="K845" s="58"/>
      <c r="L845" s="58"/>
      <c r="M845" s="58"/>
      <c r="N845" s="58"/>
      <c r="O845" s="58"/>
    </row>
    <row r="846">
      <c r="A846" s="95"/>
      <c r="B846" s="95"/>
      <c r="C846" s="52"/>
      <c r="D846" s="52"/>
      <c r="E846" s="52"/>
      <c r="F846" s="58"/>
      <c r="G846" s="58"/>
      <c r="H846" s="58"/>
      <c r="I846" s="58"/>
      <c r="J846" s="58"/>
      <c r="K846" s="58"/>
      <c r="L846" s="58"/>
      <c r="M846" s="58"/>
      <c r="N846" s="58"/>
      <c r="O846" s="58"/>
    </row>
    <row r="847">
      <c r="A847" s="95"/>
      <c r="B847" s="95"/>
      <c r="C847" s="52"/>
      <c r="D847" s="52"/>
      <c r="E847" s="52"/>
      <c r="F847" s="58"/>
      <c r="G847" s="58"/>
      <c r="H847" s="58"/>
      <c r="I847" s="58"/>
      <c r="J847" s="58"/>
      <c r="K847" s="58"/>
      <c r="L847" s="58"/>
      <c r="M847" s="58"/>
      <c r="N847" s="58"/>
      <c r="O847" s="58"/>
    </row>
    <row r="848">
      <c r="A848" s="95"/>
      <c r="B848" s="95"/>
      <c r="C848" s="52"/>
      <c r="D848" s="52"/>
      <c r="E848" s="52"/>
      <c r="F848" s="58"/>
      <c r="G848" s="58"/>
      <c r="H848" s="58"/>
      <c r="I848" s="58"/>
      <c r="J848" s="58"/>
      <c r="K848" s="58"/>
      <c r="L848" s="58"/>
      <c r="M848" s="58"/>
      <c r="N848" s="58"/>
      <c r="O848" s="58"/>
    </row>
    <row r="849">
      <c r="A849" s="95"/>
      <c r="B849" s="95"/>
      <c r="C849" s="52"/>
      <c r="D849" s="52"/>
      <c r="E849" s="52"/>
      <c r="F849" s="58"/>
      <c r="G849" s="58"/>
      <c r="H849" s="58"/>
      <c r="I849" s="58"/>
      <c r="J849" s="58"/>
      <c r="K849" s="58"/>
      <c r="L849" s="58"/>
      <c r="M849" s="58"/>
      <c r="N849" s="58"/>
      <c r="O849" s="58"/>
    </row>
    <row r="850">
      <c r="A850" s="95"/>
      <c r="B850" s="95"/>
      <c r="C850" s="52"/>
      <c r="D850" s="52"/>
      <c r="E850" s="52"/>
      <c r="F850" s="58"/>
      <c r="G850" s="58"/>
      <c r="H850" s="58"/>
      <c r="I850" s="58"/>
      <c r="J850" s="58"/>
      <c r="K850" s="58"/>
      <c r="L850" s="58"/>
      <c r="M850" s="58"/>
      <c r="N850" s="58"/>
      <c r="O850" s="58"/>
    </row>
    <row r="851">
      <c r="A851" s="95"/>
      <c r="B851" s="95"/>
      <c r="C851" s="52"/>
      <c r="D851" s="52"/>
      <c r="E851" s="52"/>
      <c r="F851" s="58"/>
      <c r="G851" s="58"/>
      <c r="H851" s="58"/>
      <c r="I851" s="58"/>
      <c r="J851" s="58"/>
      <c r="K851" s="58"/>
      <c r="L851" s="58"/>
      <c r="M851" s="58"/>
      <c r="N851" s="58"/>
      <c r="O851" s="58"/>
    </row>
    <row r="852">
      <c r="A852" s="95"/>
      <c r="B852" s="95"/>
      <c r="C852" s="52"/>
      <c r="D852" s="52"/>
      <c r="E852" s="52"/>
      <c r="F852" s="58"/>
      <c r="G852" s="58"/>
      <c r="H852" s="58"/>
      <c r="I852" s="58"/>
      <c r="J852" s="58"/>
      <c r="K852" s="58"/>
      <c r="L852" s="58"/>
      <c r="M852" s="58"/>
      <c r="N852" s="58"/>
      <c r="O852" s="58"/>
    </row>
    <row r="853">
      <c r="A853" s="95"/>
      <c r="B853" s="95"/>
      <c r="C853" s="52"/>
      <c r="D853" s="52"/>
      <c r="E853" s="52"/>
      <c r="F853" s="58"/>
      <c r="G853" s="58"/>
      <c r="H853" s="58"/>
      <c r="I853" s="58"/>
      <c r="J853" s="58"/>
      <c r="K853" s="58"/>
      <c r="L853" s="58"/>
      <c r="M853" s="58"/>
      <c r="N853" s="58"/>
      <c r="O853" s="58"/>
    </row>
    <row r="854">
      <c r="A854" s="95"/>
      <c r="B854" s="95"/>
      <c r="C854" s="52"/>
      <c r="D854" s="52"/>
      <c r="E854" s="52"/>
      <c r="F854" s="58"/>
      <c r="G854" s="58"/>
      <c r="H854" s="58"/>
      <c r="I854" s="58"/>
      <c r="J854" s="58"/>
      <c r="K854" s="58"/>
      <c r="L854" s="58"/>
      <c r="M854" s="58"/>
      <c r="N854" s="58"/>
      <c r="O854" s="58"/>
    </row>
    <row r="855">
      <c r="A855" s="95"/>
      <c r="B855" s="95"/>
      <c r="C855" s="52"/>
      <c r="D855" s="52"/>
      <c r="E855" s="52"/>
      <c r="F855" s="58"/>
      <c r="G855" s="58"/>
      <c r="H855" s="58"/>
      <c r="I855" s="58"/>
      <c r="J855" s="58"/>
      <c r="K855" s="58"/>
      <c r="L855" s="58"/>
      <c r="M855" s="58"/>
      <c r="N855" s="58"/>
      <c r="O855" s="58"/>
    </row>
    <row r="856">
      <c r="A856" s="95"/>
      <c r="B856" s="95"/>
      <c r="C856" s="52"/>
      <c r="D856" s="52"/>
      <c r="E856" s="52"/>
      <c r="F856" s="58"/>
      <c r="G856" s="58"/>
      <c r="H856" s="58"/>
      <c r="I856" s="58"/>
      <c r="J856" s="58"/>
      <c r="K856" s="58"/>
      <c r="L856" s="58"/>
      <c r="M856" s="58"/>
      <c r="N856" s="58"/>
      <c r="O856" s="58"/>
    </row>
    <row r="857">
      <c r="A857" s="95"/>
      <c r="B857" s="95"/>
      <c r="C857" s="52"/>
      <c r="D857" s="52"/>
      <c r="E857" s="52"/>
      <c r="F857" s="58"/>
      <c r="G857" s="58"/>
      <c r="H857" s="58"/>
      <c r="I857" s="58"/>
      <c r="J857" s="58"/>
      <c r="K857" s="58"/>
      <c r="L857" s="58"/>
      <c r="M857" s="58"/>
      <c r="N857" s="58"/>
      <c r="O857" s="58"/>
    </row>
    <row r="858">
      <c r="A858" s="95"/>
      <c r="B858" s="95"/>
      <c r="C858" s="52"/>
      <c r="D858" s="52"/>
      <c r="E858" s="52"/>
      <c r="F858" s="58"/>
      <c r="G858" s="58"/>
      <c r="H858" s="58"/>
      <c r="I858" s="58"/>
      <c r="J858" s="58"/>
      <c r="K858" s="58"/>
      <c r="L858" s="58"/>
      <c r="M858" s="58"/>
      <c r="N858" s="58"/>
      <c r="O858" s="58"/>
    </row>
    <row r="859">
      <c r="A859" s="95"/>
      <c r="B859" s="95"/>
      <c r="C859" s="52"/>
      <c r="D859" s="52"/>
      <c r="E859" s="52"/>
      <c r="F859" s="58"/>
      <c r="G859" s="58"/>
      <c r="H859" s="58"/>
      <c r="I859" s="58"/>
      <c r="J859" s="58"/>
      <c r="K859" s="58"/>
      <c r="L859" s="58"/>
      <c r="M859" s="58"/>
      <c r="N859" s="58"/>
      <c r="O859" s="58"/>
    </row>
    <row r="860">
      <c r="A860" s="95"/>
      <c r="B860" s="95"/>
      <c r="C860" s="52"/>
      <c r="D860" s="52"/>
      <c r="E860" s="52"/>
      <c r="F860" s="58"/>
      <c r="G860" s="58"/>
      <c r="H860" s="58"/>
      <c r="I860" s="58"/>
      <c r="J860" s="58"/>
      <c r="K860" s="58"/>
      <c r="L860" s="58"/>
      <c r="M860" s="58"/>
      <c r="N860" s="58"/>
      <c r="O860" s="58"/>
    </row>
    <row r="861">
      <c r="A861" s="95"/>
      <c r="B861" s="95"/>
      <c r="C861" s="52"/>
      <c r="D861" s="52"/>
      <c r="E861" s="52"/>
      <c r="F861" s="58"/>
      <c r="G861" s="58"/>
      <c r="H861" s="58"/>
      <c r="I861" s="58"/>
      <c r="J861" s="58"/>
      <c r="K861" s="58"/>
      <c r="L861" s="58"/>
      <c r="M861" s="58"/>
      <c r="N861" s="58"/>
      <c r="O861" s="58"/>
    </row>
    <row r="862">
      <c r="A862" s="95"/>
      <c r="B862" s="95"/>
      <c r="C862" s="52"/>
      <c r="D862" s="52"/>
      <c r="E862" s="52"/>
      <c r="F862" s="58"/>
      <c r="G862" s="58"/>
      <c r="H862" s="58"/>
      <c r="I862" s="58"/>
      <c r="J862" s="58"/>
      <c r="K862" s="58"/>
      <c r="L862" s="58"/>
      <c r="M862" s="58"/>
      <c r="N862" s="58"/>
      <c r="O862" s="58"/>
    </row>
    <row r="863">
      <c r="A863" s="95"/>
      <c r="B863" s="95"/>
      <c r="C863" s="52"/>
      <c r="D863" s="52"/>
      <c r="E863" s="52"/>
      <c r="F863" s="58"/>
      <c r="G863" s="58"/>
      <c r="H863" s="58"/>
      <c r="I863" s="58"/>
      <c r="J863" s="58"/>
      <c r="K863" s="58"/>
      <c r="L863" s="58"/>
      <c r="M863" s="58"/>
      <c r="N863" s="58"/>
      <c r="O863" s="58"/>
    </row>
    <row r="864">
      <c r="A864" s="95"/>
      <c r="B864" s="95"/>
      <c r="C864" s="52"/>
      <c r="D864" s="52"/>
      <c r="E864" s="52"/>
      <c r="F864" s="58"/>
      <c r="G864" s="58"/>
      <c r="H864" s="58"/>
      <c r="I864" s="58"/>
      <c r="J864" s="58"/>
      <c r="K864" s="58"/>
      <c r="L864" s="58"/>
      <c r="M864" s="58"/>
      <c r="N864" s="58"/>
      <c r="O864" s="58"/>
    </row>
    <row r="865">
      <c r="A865" s="95"/>
      <c r="B865" s="95"/>
      <c r="C865" s="52"/>
      <c r="D865" s="52"/>
      <c r="E865" s="52"/>
      <c r="F865" s="58"/>
      <c r="G865" s="58"/>
      <c r="H865" s="58"/>
      <c r="I865" s="58"/>
      <c r="J865" s="58"/>
      <c r="K865" s="58"/>
      <c r="L865" s="58"/>
      <c r="M865" s="58"/>
      <c r="N865" s="58"/>
      <c r="O865" s="58"/>
    </row>
    <row r="866">
      <c r="A866" s="95"/>
      <c r="B866" s="95"/>
      <c r="C866" s="52"/>
      <c r="D866" s="52"/>
      <c r="E866" s="52"/>
      <c r="F866" s="58"/>
      <c r="G866" s="58"/>
      <c r="H866" s="58"/>
      <c r="I866" s="58"/>
      <c r="J866" s="58"/>
      <c r="K866" s="58"/>
      <c r="L866" s="58"/>
      <c r="M866" s="58"/>
      <c r="N866" s="58"/>
      <c r="O866" s="58"/>
    </row>
    <row r="867">
      <c r="A867" s="95"/>
      <c r="B867" s="95"/>
      <c r="C867" s="52"/>
      <c r="D867" s="52"/>
      <c r="E867" s="52"/>
      <c r="F867" s="58"/>
      <c r="G867" s="58"/>
      <c r="H867" s="58"/>
      <c r="I867" s="58"/>
      <c r="J867" s="58"/>
      <c r="K867" s="58"/>
      <c r="L867" s="58"/>
      <c r="M867" s="58"/>
      <c r="N867" s="58"/>
      <c r="O867" s="58"/>
    </row>
    <row r="868">
      <c r="A868" s="95"/>
      <c r="B868" s="95"/>
      <c r="C868" s="52"/>
      <c r="D868" s="52"/>
      <c r="E868" s="52"/>
      <c r="F868" s="58"/>
      <c r="G868" s="58"/>
      <c r="H868" s="58"/>
      <c r="I868" s="58"/>
      <c r="J868" s="58"/>
      <c r="K868" s="58"/>
      <c r="L868" s="58"/>
      <c r="M868" s="58"/>
      <c r="N868" s="58"/>
      <c r="O868" s="58"/>
    </row>
    <row r="869">
      <c r="A869" s="95"/>
      <c r="B869" s="95"/>
      <c r="C869" s="52"/>
      <c r="D869" s="52"/>
      <c r="E869" s="52"/>
      <c r="F869" s="58"/>
      <c r="G869" s="58"/>
      <c r="H869" s="58"/>
      <c r="I869" s="58"/>
      <c r="J869" s="58"/>
      <c r="K869" s="58"/>
      <c r="L869" s="58"/>
      <c r="M869" s="58"/>
      <c r="N869" s="58"/>
      <c r="O869" s="58"/>
    </row>
    <row r="870">
      <c r="A870" s="95"/>
      <c r="B870" s="95"/>
      <c r="C870" s="52"/>
      <c r="D870" s="52"/>
      <c r="E870" s="52"/>
      <c r="F870" s="58"/>
      <c r="G870" s="58"/>
      <c r="H870" s="58"/>
      <c r="I870" s="58"/>
      <c r="J870" s="58"/>
      <c r="K870" s="58"/>
      <c r="L870" s="58"/>
      <c r="M870" s="58"/>
      <c r="N870" s="58"/>
      <c r="O870" s="58"/>
    </row>
    <row r="871">
      <c r="A871" s="95"/>
      <c r="B871" s="95"/>
      <c r="C871" s="52"/>
      <c r="D871" s="52"/>
      <c r="E871" s="52"/>
      <c r="F871" s="58"/>
      <c r="G871" s="58"/>
      <c r="H871" s="58"/>
      <c r="I871" s="58"/>
      <c r="J871" s="58"/>
      <c r="K871" s="58"/>
      <c r="L871" s="58"/>
      <c r="M871" s="58"/>
      <c r="N871" s="58"/>
      <c r="O871" s="58"/>
    </row>
    <row r="872">
      <c r="A872" s="95"/>
      <c r="B872" s="95"/>
      <c r="C872" s="52"/>
      <c r="D872" s="52"/>
      <c r="E872" s="52"/>
      <c r="F872" s="58"/>
      <c r="G872" s="58"/>
      <c r="H872" s="58"/>
      <c r="I872" s="58"/>
      <c r="J872" s="58"/>
      <c r="K872" s="58"/>
      <c r="L872" s="58"/>
      <c r="M872" s="58"/>
      <c r="N872" s="58"/>
      <c r="O872" s="58"/>
    </row>
    <row r="873">
      <c r="A873" s="95"/>
      <c r="B873" s="95"/>
      <c r="C873" s="52"/>
      <c r="D873" s="52"/>
      <c r="E873" s="52"/>
      <c r="F873" s="58"/>
      <c r="G873" s="58"/>
      <c r="H873" s="58"/>
      <c r="I873" s="58"/>
      <c r="J873" s="58"/>
      <c r="K873" s="58"/>
      <c r="L873" s="58"/>
      <c r="M873" s="58"/>
      <c r="N873" s="58"/>
      <c r="O873" s="58"/>
    </row>
    <row r="874">
      <c r="A874" s="95"/>
      <c r="B874" s="95"/>
      <c r="C874" s="52"/>
      <c r="D874" s="52"/>
      <c r="E874" s="52"/>
      <c r="F874" s="58"/>
      <c r="G874" s="58"/>
      <c r="H874" s="58"/>
      <c r="I874" s="58"/>
      <c r="J874" s="58"/>
      <c r="K874" s="58"/>
      <c r="L874" s="58"/>
      <c r="M874" s="58"/>
      <c r="N874" s="58"/>
      <c r="O874" s="58"/>
    </row>
    <row r="875">
      <c r="A875" s="95"/>
      <c r="B875" s="95"/>
      <c r="C875" s="52"/>
      <c r="D875" s="52"/>
      <c r="E875" s="52"/>
      <c r="F875" s="58"/>
      <c r="G875" s="58"/>
      <c r="H875" s="58"/>
      <c r="I875" s="58"/>
      <c r="J875" s="58"/>
      <c r="K875" s="58"/>
      <c r="L875" s="58"/>
      <c r="M875" s="58"/>
      <c r="N875" s="58"/>
      <c r="O875" s="58"/>
    </row>
    <row r="876">
      <c r="A876" s="95"/>
      <c r="B876" s="95"/>
      <c r="C876" s="52"/>
      <c r="D876" s="52"/>
      <c r="E876" s="52"/>
      <c r="F876" s="58"/>
      <c r="G876" s="58"/>
      <c r="H876" s="58"/>
      <c r="I876" s="58"/>
      <c r="J876" s="58"/>
      <c r="K876" s="58"/>
      <c r="L876" s="58"/>
      <c r="M876" s="58"/>
      <c r="N876" s="58"/>
      <c r="O876" s="58"/>
    </row>
    <row r="877">
      <c r="A877" s="95"/>
      <c r="B877" s="95"/>
      <c r="C877" s="52"/>
      <c r="D877" s="52"/>
      <c r="E877" s="52"/>
      <c r="F877" s="58"/>
      <c r="G877" s="58"/>
      <c r="H877" s="58"/>
      <c r="I877" s="58"/>
      <c r="J877" s="58"/>
      <c r="K877" s="58"/>
      <c r="L877" s="58"/>
      <c r="M877" s="58"/>
      <c r="N877" s="58"/>
      <c r="O877" s="58"/>
    </row>
    <row r="878">
      <c r="A878" s="95"/>
      <c r="B878" s="95"/>
      <c r="C878" s="52"/>
      <c r="D878" s="52"/>
      <c r="E878" s="52"/>
      <c r="F878" s="58"/>
      <c r="G878" s="58"/>
      <c r="H878" s="58"/>
      <c r="I878" s="58"/>
      <c r="J878" s="58"/>
      <c r="K878" s="58"/>
      <c r="L878" s="58"/>
      <c r="M878" s="58"/>
      <c r="N878" s="58"/>
      <c r="O878" s="58"/>
    </row>
    <row r="879">
      <c r="A879" s="95"/>
      <c r="B879" s="95"/>
      <c r="C879" s="52"/>
      <c r="D879" s="52"/>
      <c r="E879" s="52"/>
      <c r="F879" s="58"/>
      <c r="G879" s="58"/>
      <c r="H879" s="58"/>
      <c r="I879" s="58"/>
      <c r="J879" s="58"/>
      <c r="K879" s="58"/>
      <c r="L879" s="58"/>
      <c r="M879" s="58"/>
      <c r="N879" s="58"/>
      <c r="O879" s="58"/>
    </row>
    <row r="880">
      <c r="A880" s="95"/>
      <c r="B880" s="95"/>
      <c r="C880" s="52"/>
      <c r="D880" s="52"/>
      <c r="E880" s="52"/>
      <c r="F880" s="58"/>
      <c r="G880" s="58"/>
      <c r="H880" s="58"/>
      <c r="I880" s="58"/>
      <c r="J880" s="58"/>
      <c r="K880" s="58"/>
      <c r="L880" s="58"/>
      <c r="M880" s="58"/>
      <c r="N880" s="58"/>
      <c r="O880" s="58"/>
    </row>
    <row r="881">
      <c r="A881" s="95"/>
      <c r="B881" s="95"/>
      <c r="C881" s="52"/>
      <c r="D881" s="52"/>
      <c r="E881" s="52"/>
      <c r="F881" s="58"/>
      <c r="G881" s="58"/>
      <c r="H881" s="58"/>
      <c r="I881" s="58"/>
      <c r="J881" s="58"/>
      <c r="K881" s="58"/>
      <c r="L881" s="58"/>
      <c r="M881" s="58"/>
      <c r="N881" s="58"/>
      <c r="O881" s="58"/>
    </row>
    <row r="882">
      <c r="A882" s="95"/>
      <c r="B882" s="95"/>
      <c r="C882" s="52"/>
      <c r="D882" s="52"/>
      <c r="E882" s="52"/>
      <c r="F882" s="58"/>
      <c r="G882" s="58"/>
      <c r="H882" s="58"/>
      <c r="I882" s="58"/>
      <c r="J882" s="58"/>
      <c r="K882" s="58"/>
      <c r="L882" s="58"/>
      <c r="M882" s="58"/>
      <c r="N882" s="58"/>
      <c r="O882" s="58"/>
    </row>
    <row r="883">
      <c r="A883" s="95"/>
      <c r="B883" s="95"/>
      <c r="C883" s="52"/>
      <c r="D883" s="52"/>
      <c r="E883" s="52"/>
      <c r="F883" s="58"/>
      <c r="G883" s="58"/>
      <c r="H883" s="58"/>
      <c r="I883" s="58"/>
      <c r="J883" s="58"/>
      <c r="K883" s="58"/>
      <c r="L883" s="58"/>
      <c r="M883" s="58"/>
      <c r="N883" s="58"/>
      <c r="O883" s="58"/>
    </row>
    <row r="884">
      <c r="A884" s="95"/>
      <c r="B884" s="95"/>
      <c r="C884" s="52"/>
      <c r="D884" s="52"/>
      <c r="E884" s="52"/>
      <c r="F884" s="58"/>
      <c r="G884" s="58"/>
      <c r="H884" s="58"/>
      <c r="I884" s="58"/>
      <c r="J884" s="58"/>
      <c r="K884" s="58"/>
      <c r="L884" s="58"/>
      <c r="M884" s="58"/>
      <c r="N884" s="58"/>
      <c r="O884" s="58"/>
    </row>
    <row r="885">
      <c r="A885" s="95"/>
      <c r="B885" s="95"/>
      <c r="C885" s="52"/>
      <c r="D885" s="52"/>
      <c r="E885" s="52"/>
      <c r="F885" s="58"/>
      <c r="G885" s="58"/>
      <c r="H885" s="58"/>
      <c r="I885" s="58"/>
      <c r="J885" s="58"/>
      <c r="K885" s="58"/>
      <c r="L885" s="58"/>
      <c r="M885" s="58"/>
      <c r="N885" s="58"/>
      <c r="O885" s="58"/>
    </row>
    <row r="886">
      <c r="A886" s="95"/>
      <c r="B886" s="95"/>
      <c r="C886" s="52"/>
      <c r="D886" s="52"/>
      <c r="E886" s="52"/>
      <c r="F886" s="58"/>
      <c r="G886" s="58"/>
      <c r="H886" s="58"/>
      <c r="I886" s="58"/>
      <c r="J886" s="58"/>
      <c r="K886" s="58"/>
      <c r="L886" s="58"/>
      <c r="M886" s="58"/>
      <c r="N886" s="58"/>
      <c r="O886" s="58"/>
    </row>
    <row r="887">
      <c r="A887" s="95"/>
      <c r="B887" s="95"/>
      <c r="C887" s="52"/>
      <c r="D887" s="52"/>
      <c r="E887" s="52"/>
      <c r="F887" s="58"/>
      <c r="G887" s="58"/>
      <c r="H887" s="58"/>
      <c r="I887" s="58"/>
      <c r="J887" s="58"/>
      <c r="K887" s="58"/>
      <c r="L887" s="58"/>
      <c r="M887" s="58"/>
      <c r="N887" s="58"/>
      <c r="O887" s="58"/>
    </row>
    <row r="888">
      <c r="A888" s="95"/>
      <c r="B888" s="95"/>
      <c r="C888" s="52"/>
      <c r="D888" s="52"/>
      <c r="E888" s="52"/>
      <c r="F888" s="58"/>
      <c r="G888" s="58"/>
      <c r="H888" s="58"/>
      <c r="I888" s="58"/>
      <c r="J888" s="58"/>
      <c r="K888" s="58"/>
      <c r="L888" s="58"/>
      <c r="M888" s="58"/>
      <c r="N888" s="58"/>
      <c r="O888" s="58"/>
    </row>
    <row r="889">
      <c r="A889" s="95"/>
      <c r="B889" s="95"/>
      <c r="C889" s="52"/>
      <c r="D889" s="52"/>
      <c r="E889" s="52"/>
      <c r="F889" s="58"/>
      <c r="G889" s="58"/>
      <c r="H889" s="58"/>
      <c r="I889" s="58"/>
      <c r="J889" s="58"/>
      <c r="K889" s="58"/>
      <c r="L889" s="58"/>
      <c r="M889" s="58"/>
      <c r="N889" s="58"/>
      <c r="O889" s="58"/>
    </row>
    <row r="890">
      <c r="A890" s="95"/>
      <c r="B890" s="95"/>
      <c r="C890" s="52"/>
      <c r="D890" s="52"/>
      <c r="E890" s="52"/>
      <c r="F890" s="58"/>
      <c r="G890" s="58"/>
      <c r="H890" s="58"/>
      <c r="I890" s="58"/>
      <c r="J890" s="58"/>
      <c r="K890" s="58"/>
      <c r="L890" s="58"/>
      <c r="M890" s="58"/>
      <c r="N890" s="58"/>
      <c r="O890" s="58"/>
    </row>
    <row r="891">
      <c r="A891" s="95"/>
      <c r="B891" s="95"/>
      <c r="C891" s="52"/>
      <c r="D891" s="52"/>
      <c r="E891" s="52"/>
      <c r="F891" s="58"/>
      <c r="G891" s="58"/>
      <c r="H891" s="58"/>
      <c r="I891" s="58"/>
      <c r="J891" s="58"/>
      <c r="K891" s="58"/>
      <c r="L891" s="58"/>
      <c r="M891" s="58"/>
      <c r="N891" s="58"/>
      <c r="O891" s="58"/>
    </row>
    <row r="892">
      <c r="A892" s="95"/>
      <c r="B892" s="95"/>
      <c r="C892" s="52"/>
      <c r="D892" s="52"/>
      <c r="E892" s="52"/>
      <c r="F892" s="58"/>
      <c r="G892" s="58"/>
      <c r="H892" s="58"/>
      <c r="I892" s="58"/>
      <c r="J892" s="58"/>
      <c r="K892" s="58"/>
      <c r="L892" s="58"/>
      <c r="M892" s="58"/>
      <c r="N892" s="58"/>
      <c r="O892" s="58"/>
    </row>
    <row r="893">
      <c r="A893" s="95"/>
      <c r="B893" s="95"/>
      <c r="C893" s="52"/>
      <c r="D893" s="52"/>
      <c r="E893" s="52"/>
      <c r="F893" s="58"/>
      <c r="G893" s="58"/>
      <c r="H893" s="58"/>
      <c r="I893" s="58"/>
      <c r="J893" s="58"/>
      <c r="K893" s="58"/>
      <c r="L893" s="58"/>
      <c r="M893" s="58"/>
      <c r="N893" s="58"/>
      <c r="O893" s="58"/>
    </row>
    <row r="894">
      <c r="A894" s="95"/>
      <c r="B894" s="95"/>
      <c r="C894" s="52"/>
      <c r="D894" s="52"/>
      <c r="E894" s="52"/>
      <c r="F894" s="58"/>
      <c r="G894" s="58"/>
      <c r="H894" s="58"/>
      <c r="I894" s="58"/>
      <c r="J894" s="58"/>
      <c r="K894" s="58"/>
      <c r="L894" s="58"/>
      <c r="M894" s="58"/>
      <c r="N894" s="58"/>
      <c r="O894" s="58"/>
    </row>
    <row r="895">
      <c r="A895" s="95"/>
      <c r="B895" s="95"/>
      <c r="C895" s="52"/>
      <c r="D895" s="52"/>
      <c r="E895" s="52"/>
      <c r="F895" s="58"/>
      <c r="G895" s="58"/>
      <c r="H895" s="58"/>
      <c r="I895" s="58"/>
      <c r="J895" s="58"/>
      <c r="K895" s="58"/>
      <c r="L895" s="58"/>
      <c r="M895" s="58"/>
      <c r="N895" s="58"/>
      <c r="O895" s="58"/>
    </row>
    <row r="896">
      <c r="A896" s="95"/>
      <c r="B896" s="95"/>
      <c r="C896" s="52"/>
      <c r="D896" s="52"/>
      <c r="E896" s="52"/>
      <c r="F896" s="58"/>
      <c r="G896" s="58"/>
      <c r="H896" s="58"/>
      <c r="I896" s="58"/>
      <c r="J896" s="58"/>
      <c r="K896" s="58"/>
      <c r="L896" s="58"/>
      <c r="M896" s="58"/>
      <c r="N896" s="58"/>
      <c r="O896" s="58"/>
    </row>
    <row r="897">
      <c r="A897" s="95"/>
      <c r="B897" s="95"/>
      <c r="C897" s="52"/>
      <c r="D897" s="52"/>
      <c r="E897" s="52"/>
      <c r="F897" s="58"/>
      <c r="G897" s="58"/>
      <c r="H897" s="58"/>
      <c r="I897" s="58"/>
      <c r="J897" s="58"/>
      <c r="K897" s="58"/>
      <c r="L897" s="58"/>
      <c r="M897" s="58"/>
      <c r="N897" s="58"/>
      <c r="O897" s="58"/>
    </row>
    <row r="898">
      <c r="A898" s="95"/>
      <c r="B898" s="95"/>
      <c r="C898" s="52"/>
      <c r="D898" s="52"/>
      <c r="E898" s="52"/>
      <c r="F898" s="58"/>
      <c r="G898" s="58"/>
      <c r="H898" s="58"/>
      <c r="I898" s="58"/>
      <c r="J898" s="58"/>
      <c r="K898" s="58"/>
      <c r="L898" s="58"/>
      <c r="M898" s="58"/>
      <c r="N898" s="58"/>
      <c r="O898" s="58"/>
    </row>
    <row r="899">
      <c r="A899" s="95"/>
      <c r="B899" s="95"/>
      <c r="C899" s="52"/>
      <c r="D899" s="52"/>
      <c r="E899" s="52"/>
      <c r="F899" s="58"/>
      <c r="G899" s="58"/>
      <c r="H899" s="58"/>
      <c r="I899" s="58"/>
      <c r="J899" s="58"/>
      <c r="K899" s="58"/>
      <c r="L899" s="58"/>
      <c r="M899" s="58"/>
      <c r="N899" s="58"/>
      <c r="O899" s="58"/>
    </row>
    <row r="900">
      <c r="A900" s="95"/>
      <c r="B900" s="95"/>
      <c r="C900" s="52"/>
      <c r="D900" s="52"/>
      <c r="E900" s="52"/>
      <c r="F900" s="58"/>
      <c r="G900" s="58"/>
      <c r="H900" s="58"/>
      <c r="I900" s="58"/>
      <c r="J900" s="58"/>
      <c r="K900" s="58"/>
      <c r="L900" s="58"/>
      <c r="M900" s="58"/>
      <c r="N900" s="58"/>
      <c r="O900" s="58"/>
    </row>
    <row r="901">
      <c r="A901" s="95"/>
      <c r="B901" s="95"/>
      <c r="C901" s="52"/>
      <c r="D901" s="52"/>
      <c r="E901" s="52"/>
      <c r="F901" s="58"/>
      <c r="G901" s="58"/>
      <c r="H901" s="58"/>
      <c r="I901" s="58"/>
      <c r="J901" s="58"/>
      <c r="K901" s="58"/>
      <c r="L901" s="58"/>
      <c r="M901" s="58"/>
      <c r="N901" s="58"/>
      <c r="O901" s="58"/>
    </row>
    <row r="902">
      <c r="A902" s="95"/>
      <c r="B902" s="95"/>
      <c r="C902" s="52"/>
      <c r="D902" s="52"/>
      <c r="E902" s="52"/>
      <c r="F902" s="58"/>
      <c r="G902" s="58"/>
      <c r="H902" s="58"/>
      <c r="I902" s="58"/>
      <c r="J902" s="58"/>
      <c r="K902" s="58"/>
      <c r="L902" s="58"/>
      <c r="M902" s="58"/>
      <c r="N902" s="58"/>
      <c r="O902" s="58"/>
    </row>
    <row r="903">
      <c r="A903" s="95"/>
      <c r="B903" s="95"/>
      <c r="C903" s="52"/>
      <c r="D903" s="52"/>
      <c r="E903" s="52"/>
      <c r="F903" s="58"/>
      <c r="G903" s="58"/>
      <c r="H903" s="58"/>
      <c r="I903" s="58"/>
      <c r="J903" s="58"/>
      <c r="K903" s="58"/>
      <c r="L903" s="58"/>
      <c r="M903" s="58"/>
      <c r="N903" s="58"/>
      <c r="O903" s="58"/>
    </row>
    <row r="904">
      <c r="A904" s="95"/>
      <c r="B904" s="95"/>
      <c r="C904" s="52"/>
      <c r="D904" s="52"/>
      <c r="E904" s="52"/>
      <c r="F904" s="58"/>
      <c r="G904" s="58"/>
      <c r="H904" s="58"/>
      <c r="I904" s="58"/>
      <c r="J904" s="58"/>
      <c r="K904" s="58"/>
      <c r="L904" s="58"/>
      <c r="M904" s="58"/>
      <c r="N904" s="58"/>
      <c r="O904" s="58"/>
    </row>
    <row r="905">
      <c r="A905" s="95"/>
      <c r="B905" s="95"/>
      <c r="C905" s="52"/>
      <c r="D905" s="52"/>
      <c r="E905" s="52"/>
      <c r="F905" s="58"/>
      <c r="G905" s="58"/>
      <c r="H905" s="58"/>
      <c r="I905" s="58"/>
      <c r="J905" s="58"/>
      <c r="K905" s="58"/>
      <c r="L905" s="58"/>
      <c r="M905" s="58"/>
      <c r="N905" s="58"/>
      <c r="O905" s="58"/>
    </row>
    <row r="906">
      <c r="A906" s="95"/>
      <c r="B906" s="95"/>
      <c r="C906" s="52"/>
      <c r="D906" s="52"/>
      <c r="E906" s="52"/>
      <c r="F906" s="58"/>
      <c r="G906" s="58"/>
      <c r="H906" s="58"/>
      <c r="I906" s="58"/>
      <c r="J906" s="58"/>
      <c r="K906" s="58"/>
      <c r="L906" s="58"/>
      <c r="M906" s="58"/>
      <c r="N906" s="58"/>
      <c r="O906" s="58"/>
    </row>
    <row r="907">
      <c r="A907" s="95"/>
      <c r="B907" s="95"/>
      <c r="C907" s="52"/>
      <c r="D907" s="52"/>
      <c r="E907" s="52"/>
      <c r="F907" s="58"/>
      <c r="G907" s="58"/>
      <c r="H907" s="58"/>
      <c r="I907" s="58"/>
      <c r="J907" s="58"/>
      <c r="K907" s="58"/>
      <c r="L907" s="58"/>
      <c r="M907" s="58"/>
      <c r="N907" s="58"/>
      <c r="O907" s="58"/>
    </row>
    <row r="908">
      <c r="A908" s="95"/>
      <c r="B908" s="95"/>
      <c r="C908" s="52"/>
      <c r="D908" s="52"/>
      <c r="E908" s="52"/>
      <c r="F908" s="58"/>
      <c r="G908" s="58"/>
      <c r="H908" s="58"/>
      <c r="I908" s="58"/>
      <c r="J908" s="58"/>
      <c r="K908" s="58"/>
      <c r="L908" s="58"/>
      <c r="M908" s="58"/>
      <c r="N908" s="58"/>
      <c r="O908" s="58"/>
    </row>
    <row r="909">
      <c r="A909" s="95"/>
      <c r="B909" s="95"/>
      <c r="C909" s="52"/>
      <c r="D909" s="52"/>
      <c r="E909" s="52"/>
      <c r="F909" s="58"/>
      <c r="G909" s="58"/>
      <c r="H909" s="58"/>
      <c r="I909" s="58"/>
      <c r="J909" s="58"/>
      <c r="K909" s="58"/>
      <c r="L909" s="58"/>
      <c r="M909" s="58"/>
      <c r="N909" s="58"/>
      <c r="O909" s="58"/>
    </row>
    <row r="910">
      <c r="A910" s="95"/>
      <c r="B910" s="95"/>
      <c r="C910" s="52"/>
      <c r="D910" s="52"/>
      <c r="E910" s="52"/>
      <c r="F910" s="58"/>
      <c r="G910" s="58"/>
      <c r="H910" s="58"/>
      <c r="I910" s="58"/>
      <c r="J910" s="58"/>
      <c r="K910" s="58"/>
      <c r="L910" s="58"/>
      <c r="M910" s="58"/>
      <c r="N910" s="58"/>
      <c r="O910" s="58"/>
    </row>
    <row r="911">
      <c r="A911" s="95"/>
      <c r="B911" s="95"/>
      <c r="C911" s="52"/>
      <c r="D911" s="52"/>
      <c r="E911" s="52"/>
      <c r="F911" s="58"/>
      <c r="G911" s="58"/>
      <c r="H911" s="58"/>
      <c r="I911" s="58"/>
      <c r="J911" s="58"/>
      <c r="K911" s="58"/>
      <c r="L911" s="58"/>
      <c r="M911" s="58"/>
      <c r="N911" s="58"/>
      <c r="O911" s="58"/>
    </row>
    <row r="912">
      <c r="A912" s="95"/>
      <c r="B912" s="95"/>
      <c r="C912" s="52"/>
      <c r="D912" s="52"/>
      <c r="E912" s="52"/>
      <c r="F912" s="58"/>
      <c r="G912" s="58"/>
      <c r="H912" s="58"/>
      <c r="I912" s="58"/>
      <c r="J912" s="58"/>
      <c r="K912" s="58"/>
      <c r="L912" s="58"/>
      <c r="M912" s="58"/>
      <c r="N912" s="58"/>
      <c r="O912" s="58"/>
    </row>
    <row r="913">
      <c r="A913" s="95"/>
      <c r="B913" s="95"/>
      <c r="C913" s="52"/>
      <c r="D913" s="52"/>
      <c r="E913" s="52"/>
      <c r="F913" s="58"/>
      <c r="G913" s="58"/>
      <c r="H913" s="58"/>
      <c r="I913" s="58"/>
      <c r="J913" s="58"/>
      <c r="K913" s="58"/>
      <c r="L913" s="58"/>
      <c r="M913" s="58"/>
      <c r="N913" s="58"/>
      <c r="O913" s="58"/>
    </row>
    <row r="914">
      <c r="A914" s="95"/>
      <c r="B914" s="95"/>
      <c r="C914" s="52"/>
      <c r="D914" s="52"/>
      <c r="E914" s="52"/>
      <c r="F914" s="58"/>
      <c r="G914" s="58"/>
      <c r="H914" s="58"/>
      <c r="I914" s="58"/>
      <c r="J914" s="58"/>
      <c r="K914" s="58"/>
      <c r="L914" s="58"/>
      <c r="M914" s="58"/>
      <c r="N914" s="58"/>
      <c r="O914" s="58"/>
    </row>
    <row r="915">
      <c r="A915" s="95"/>
      <c r="B915" s="95"/>
      <c r="C915" s="52"/>
      <c r="D915" s="52"/>
      <c r="E915" s="52"/>
      <c r="F915" s="58"/>
      <c r="G915" s="58"/>
      <c r="H915" s="58"/>
      <c r="I915" s="58"/>
      <c r="J915" s="58"/>
      <c r="K915" s="58"/>
      <c r="L915" s="58"/>
      <c r="M915" s="58"/>
      <c r="N915" s="58"/>
      <c r="O915" s="58"/>
    </row>
    <row r="916">
      <c r="A916" s="95"/>
      <c r="B916" s="95"/>
      <c r="C916" s="52"/>
      <c r="D916" s="52"/>
      <c r="E916" s="52"/>
      <c r="F916" s="58"/>
      <c r="G916" s="58"/>
      <c r="H916" s="58"/>
      <c r="I916" s="58"/>
      <c r="J916" s="58"/>
      <c r="K916" s="58"/>
      <c r="L916" s="58"/>
      <c r="M916" s="58"/>
      <c r="N916" s="58"/>
      <c r="O916" s="58"/>
    </row>
    <row r="917">
      <c r="A917" s="95"/>
      <c r="B917" s="95"/>
      <c r="C917" s="52"/>
      <c r="D917" s="52"/>
      <c r="E917" s="52"/>
      <c r="F917" s="58"/>
      <c r="G917" s="58"/>
      <c r="H917" s="58"/>
      <c r="I917" s="58"/>
      <c r="J917" s="58"/>
      <c r="K917" s="58"/>
      <c r="L917" s="58"/>
      <c r="M917" s="58"/>
      <c r="N917" s="58"/>
      <c r="O917" s="58"/>
    </row>
    <row r="918">
      <c r="A918" s="95"/>
      <c r="B918" s="95"/>
      <c r="C918" s="52"/>
      <c r="D918" s="52"/>
      <c r="E918" s="52"/>
      <c r="F918" s="58"/>
      <c r="G918" s="58"/>
      <c r="H918" s="58"/>
      <c r="I918" s="58"/>
      <c r="J918" s="58"/>
      <c r="K918" s="58"/>
      <c r="L918" s="58"/>
      <c r="M918" s="58"/>
      <c r="N918" s="58"/>
      <c r="O918" s="58"/>
    </row>
    <row r="919">
      <c r="A919" s="95"/>
      <c r="B919" s="95"/>
      <c r="C919" s="52"/>
      <c r="D919" s="52"/>
      <c r="E919" s="52"/>
      <c r="F919" s="58"/>
      <c r="G919" s="58"/>
      <c r="H919" s="58"/>
      <c r="I919" s="58"/>
      <c r="J919" s="58"/>
      <c r="K919" s="58"/>
      <c r="L919" s="58"/>
      <c r="M919" s="58"/>
      <c r="N919" s="58"/>
      <c r="O919" s="58"/>
    </row>
    <row r="920">
      <c r="A920" s="95"/>
      <c r="B920" s="95"/>
      <c r="C920" s="52"/>
      <c r="D920" s="52"/>
      <c r="E920" s="52"/>
      <c r="F920" s="58"/>
      <c r="G920" s="58"/>
      <c r="H920" s="58"/>
      <c r="I920" s="58"/>
      <c r="J920" s="58"/>
      <c r="K920" s="58"/>
      <c r="L920" s="58"/>
      <c r="M920" s="58"/>
      <c r="N920" s="58"/>
      <c r="O920" s="58"/>
    </row>
    <row r="921">
      <c r="A921" s="95"/>
      <c r="B921" s="95"/>
      <c r="C921" s="52"/>
      <c r="D921" s="52"/>
      <c r="E921" s="52"/>
      <c r="F921" s="58"/>
      <c r="G921" s="58"/>
      <c r="H921" s="58"/>
      <c r="I921" s="58"/>
      <c r="J921" s="58"/>
      <c r="K921" s="58"/>
      <c r="L921" s="58"/>
      <c r="M921" s="58"/>
      <c r="N921" s="58"/>
      <c r="O921" s="58"/>
    </row>
    <row r="922">
      <c r="A922" s="95"/>
      <c r="B922" s="95"/>
      <c r="C922" s="52"/>
      <c r="D922" s="52"/>
      <c r="E922" s="52"/>
      <c r="F922" s="58"/>
      <c r="G922" s="58"/>
      <c r="H922" s="58"/>
      <c r="I922" s="58"/>
      <c r="J922" s="58"/>
      <c r="K922" s="58"/>
      <c r="L922" s="58"/>
      <c r="M922" s="58"/>
      <c r="N922" s="58"/>
      <c r="O922" s="58"/>
    </row>
    <row r="923">
      <c r="A923" s="95"/>
      <c r="B923" s="95"/>
      <c r="C923" s="52"/>
      <c r="D923" s="52"/>
      <c r="E923" s="52"/>
      <c r="F923" s="58"/>
      <c r="G923" s="58"/>
      <c r="H923" s="58"/>
      <c r="I923" s="58"/>
      <c r="J923" s="58"/>
      <c r="K923" s="58"/>
      <c r="L923" s="58"/>
      <c r="M923" s="58"/>
      <c r="N923" s="58"/>
      <c r="O923" s="58"/>
    </row>
    <row r="924">
      <c r="A924" s="95"/>
      <c r="B924" s="95"/>
      <c r="C924" s="52"/>
      <c r="D924" s="52"/>
      <c r="E924" s="52"/>
      <c r="F924" s="58"/>
      <c r="G924" s="58"/>
      <c r="H924" s="58"/>
      <c r="I924" s="58"/>
      <c r="J924" s="58"/>
      <c r="K924" s="58"/>
      <c r="L924" s="58"/>
      <c r="M924" s="58"/>
      <c r="N924" s="58"/>
      <c r="O924" s="58"/>
    </row>
    <row r="925">
      <c r="A925" s="95"/>
      <c r="B925" s="95"/>
      <c r="C925" s="52"/>
      <c r="D925" s="52"/>
      <c r="E925" s="52"/>
      <c r="F925" s="58"/>
      <c r="G925" s="58"/>
      <c r="H925" s="58"/>
      <c r="I925" s="58"/>
      <c r="J925" s="58"/>
      <c r="K925" s="58"/>
      <c r="L925" s="58"/>
      <c r="M925" s="58"/>
      <c r="N925" s="58"/>
      <c r="O925" s="58"/>
    </row>
    <row r="926">
      <c r="A926" s="95"/>
      <c r="B926" s="95"/>
      <c r="C926" s="52"/>
      <c r="D926" s="52"/>
      <c r="E926" s="52"/>
      <c r="F926" s="58"/>
      <c r="G926" s="58"/>
      <c r="H926" s="58"/>
      <c r="I926" s="58"/>
      <c r="J926" s="58"/>
      <c r="K926" s="58"/>
      <c r="L926" s="58"/>
      <c r="M926" s="58"/>
      <c r="N926" s="58"/>
      <c r="O926" s="58"/>
    </row>
    <row r="927">
      <c r="A927" s="95"/>
      <c r="B927" s="95"/>
      <c r="C927" s="52"/>
      <c r="D927" s="52"/>
      <c r="E927" s="52"/>
      <c r="F927" s="58"/>
      <c r="G927" s="58"/>
      <c r="H927" s="58"/>
      <c r="I927" s="58"/>
      <c r="J927" s="58"/>
      <c r="K927" s="58"/>
      <c r="L927" s="58"/>
      <c r="M927" s="58"/>
      <c r="N927" s="58"/>
      <c r="O927" s="58"/>
    </row>
    <row r="928">
      <c r="A928" s="95"/>
      <c r="B928" s="95"/>
      <c r="C928" s="52"/>
      <c r="D928" s="52"/>
      <c r="E928" s="52"/>
      <c r="F928" s="58"/>
      <c r="G928" s="58"/>
      <c r="H928" s="58"/>
      <c r="I928" s="58"/>
      <c r="J928" s="58"/>
      <c r="K928" s="58"/>
      <c r="L928" s="58"/>
      <c r="M928" s="58"/>
      <c r="N928" s="58"/>
      <c r="O928" s="58"/>
    </row>
    <row r="929">
      <c r="A929" s="95"/>
      <c r="B929" s="95"/>
      <c r="C929" s="52"/>
      <c r="D929" s="52"/>
      <c r="E929" s="52"/>
      <c r="F929" s="58"/>
      <c r="G929" s="58"/>
      <c r="H929" s="58"/>
      <c r="I929" s="58"/>
      <c r="J929" s="58"/>
      <c r="K929" s="58"/>
      <c r="L929" s="58"/>
      <c r="M929" s="58"/>
      <c r="N929" s="58"/>
      <c r="O929" s="58"/>
    </row>
    <row r="930">
      <c r="A930" s="95"/>
      <c r="B930" s="95"/>
      <c r="C930" s="52"/>
      <c r="D930" s="52"/>
      <c r="E930" s="52"/>
      <c r="F930" s="58"/>
      <c r="G930" s="58"/>
      <c r="H930" s="58"/>
      <c r="I930" s="58"/>
      <c r="J930" s="58"/>
      <c r="K930" s="58"/>
      <c r="L930" s="58"/>
      <c r="M930" s="58"/>
      <c r="N930" s="58"/>
      <c r="O930" s="58"/>
    </row>
    <row r="931">
      <c r="A931" s="95"/>
      <c r="B931" s="95"/>
      <c r="C931" s="52"/>
      <c r="D931" s="52"/>
      <c r="E931" s="52"/>
      <c r="F931" s="58"/>
      <c r="G931" s="58"/>
      <c r="H931" s="58"/>
      <c r="I931" s="58"/>
      <c r="J931" s="58"/>
      <c r="K931" s="58"/>
      <c r="L931" s="58"/>
      <c r="M931" s="58"/>
      <c r="N931" s="58"/>
      <c r="O931" s="58"/>
    </row>
    <row r="932">
      <c r="A932" s="95"/>
      <c r="B932" s="95"/>
      <c r="C932" s="52"/>
      <c r="D932" s="52"/>
      <c r="E932" s="52"/>
      <c r="F932" s="58"/>
      <c r="G932" s="58"/>
      <c r="H932" s="58"/>
      <c r="I932" s="58"/>
      <c r="J932" s="58"/>
      <c r="K932" s="58"/>
      <c r="L932" s="58"/>
      <c r="M932" s="58"/>
      <c r="N932" s="58"/>
      <c r="O932" s="58"/>
    </row>
    <row r="933">
      <c r="A933" s="95"/>
      <c r="B933" s="95"/>
      <c r="C933" s="52"/>
      <c r="D933" s="52"/>
      <c r="E933" s="52"/>
      <c r="F933" s="58"/>
      <c r="G933" s="58"/>
      <c r="H933" s="58"/>
      <c r="I933" s="58"/>
      <c r="J933" s="58"/>
      <c r="K933" s="58"/>
      <c r="L933" s="58"/>
      <c r="M933" s="58"/>
      <c r="N933" s="58"/>
      <c r="O933" s="58"/>
    </row>
    <row r="934">
      <c r="A934" s="95"/>
      <c r="B934" s="95"/>
      <c r="C934" s="52"/>
      <c r="D934" s="52"/>
      <c r="E934" s="52"/>
      <c r="F934" s="58"/>
      <c r="G934" s="58"/>
      <c r="H934" s="58"/>
      <c r="I934" s="58"/>
      <c r="J934" s="58"/>
      <c r="K934" s="58"/>
      <c r="L934" s="58"/>
      <c r="M934" s="58"/>
      <c r="N934" s="58"/>
      <c r="O934" s="58"/>
    </row>
    <row r="935">
      <c r="A935" s="95"/>
      <c r="B935" s="95"/>
      <c r="C935" s="52"/>
      <c r="D935" s="52"/>
      <c r="E935" s="52"/>
      <c r="F935" s="58"/>
      <c r="G935" s="58"/>
      <c r="H935" s="58"/>
      <c r="I935" s="58"/>
      <c r="J935" s="58"/>
      <c r="K935" s="58"/>
      <c r="L935" s="58"/>
      <c r="M935" s="58"/>
      <c r="N935" s="58"/>
      <c r="O935" s="58"/>
    </row>
    <row r="936">
      <c r="A936" s="95"/>
      <c r="B936" s="95"/>
      <c r="C936" s="52"/>
      <c r="D936" s="52"/>
      <c r="E936" s="52"/>
      <c r="F936" s="58"/>
      <c r="G936" s="58"/>
      <c r="H936" s="58"/>
      <c r="I936" s="58"/>
      <c r="J936" s="58"/>
      <c r="K936" s="58"/>
      <c r="L936" s="58"/>
      <c r="M936" s="58"/>
      <c r="N936" s="58"/>
      <c r="O936" s="58"/>
    </row>
    <row r="937">
      <c r="A937" s="95"/>
      <c r="B937" s="95"/>
      <c r="C937" s="52"/>
      <c r="D937" s="52"/>
      <c r="E937" s="52"/>
      <c r="F937" s="58"/>
      <c r="G937" s="58"/>
      <c r="H937" s="58"/>
      <c r="I937" s="58"/>
      <c r="J937" s="58"/>
      <c r="K937" s="58"/>
      <c r="L937" s="58"/>
      <c r="M937" s="58"/>
      <c r="N937" s="58"/>
      <c r="O937" s="58"/>
    </row>
    <row r="938">
      <c r="A938" s="95"/>
      <c r="B938" s="95"/>
      <c r="C938" s="52"/>
      <c r="D938" s="52"/>
      <c r="E938" s="52"/>
      <c r="F938" s="58"/>
      <c r="G938" s="58"/>
      <c r="H938" s="58"/>
      <c r="I938" s="58"/>
      <c r="J938" s="58"/>
      <c r="K938" s="58"/>
      <c r="L938" s="58"/>
      <c r="M938" s="58"/>
      <c r="N938" s="58"/>
      <c r="O938" s="58"/>
    </row>
    <row r="939">
      <c r="A939" s="95"/>
      <c r="B939" s="95"/>
      <c r="C939" s="52"/>
      <c r="D939" s="52"/>
      <c r="E939" s="52"/>
      <c r="F939" s="58"/>
      <c r="G939" s="58"/>
      <c r="H939" s="58"/>
      <c r="I939" s="58"/>
      <c r="J939" s="58"/>
      <c r="K939" s="58"/>
      <c r="L939" s="58"/>
      <c r="M939" s="58"/>
      <c r="N939" s="58"/>
      <c r="O939" s="58"/>
    </row>
    <row r="940">
      <c r="A940" s="95"/>
      <c r="B940" s="95"/>
      <c r="C940" s="52"/>
      <c r="D940" s="52"/>
      <c r="E940" s="52"/>
      <c r="F940" s="58"/>
      <c r="G940" s="58"/>
      <c r="H940" s="58"/>
      <c r="I940" s="58"/>
      <c r="J940" s="58"/>
      <c r="K940" s="58"/>
      <c r="L940" s="58"/>
      <c r="M940" s="58"/>
      <c r="N940" s="58"/>
      <c r="O940" s="58"/>
    </row>
    <row r="941">
      <c r="A941" s="95"/>
      <c r="B941" s="95"/>
      <c r="C941" s="52"/>
      <c r="D941" s="52"/>
      <c r="E941" s="52"/>
      <c r="F941" s="58"/>
      <c r="G941" s="58"/>
      <c r="H941" s="58"/>
      <c r="I941" s="58"/>
      <c r="J941" s="58"/>
      <c r="K941" s="58"/>
      <c r="L941" s="58"/>
      <c r="M941" s="58"/>
      <c r="N941" s="58"/>
      <c r="O941" s="58"/>
    </row>
    <row r="942">
      <c r="A942" s="95"/>
      <c r="B942" s="95"/>
      <c r="C942" s="52"/>
      <c r="D942" s="52"/>
      <c r="E942" s="52"/>
      <c r="F942" s="58"/>
      <c r="G942" s="58"/>
      <c r="H942" s="58"/>
      <c r="I942" s="58"/>
      <c r="J942" s="58"/>
      <c r="K942" s="58"/>
      <c r="L942" s="58"/>
      <c r="M942" s="58"/>
      <c r="N942" s="58"/>
      <c r="O942" s="58"/>
    </row>
    <row r="943">
      <c r="A943" s="95"/>
      <c r="B943" s="95"/>
      <c r="C943" s="52"/>
      <c r="D943" s="52"/>
      <c r="E943" s="52"/>
      <c r="F943" s="58"/>
      <c r="G943" s="58"/>
      <c r="H943" s="58"/>
      <c r="I943" s="58"/>
      <c r="J943" s="58"/>
      <c r="K943" s="58"/>
      <c r="L943" s="58"/>
      <c r="M943" s="58"/>
      <c r="N943" s="58"/>
      <c r="O943" s="58"/>
    </row>
    <row r="944">
      <c r="A944" s="95"/>
      <c r="B944" s="95"/>
      <c r="C944" s="52"/>
      <c r="D944" s="52"/>
      <c r="E944" s="52"/>
      <c r="F944" s="58"/>
      <c r="G944" s="58"/>
      <c r="H944" s="58"/>
      <c r="I944" s="58"/>
      <c r="J944" s="58"/>
      <c r="K944" s="58"/>
      <c r="L944" s="58"/>
      <c r="M944" s="58"/>
      <c r="N944" s="58"/>
      <c r="O944" s="58"/>
    </row>
    <row r="945">
      <c r="A945" s="95"/>
      <c r="B945" s="95"/>
      <c r="C945" s="52"/>
      <c r="D945" s="52"/>
      <c r="E945" s="52"/>
      <c r="F945" s="58"/>
      <c r="G945" s="58"/>
      <c r="H945" s="58"/>
      <c r="I945" s="58"/>
      <c r="J945" s="58"/>
      <c r="K945" s="58"/>
      <c r="L945" s="58"/>
      <c r="M945" s="58"/>
      <c r="N945" s="58"/>
      <c r="O945" s="58"/>
    </row>
    <row r="946">
      <c r="A946" s="95"/>
      <c r="B946" s="95"/>
      <c r="C946" s="52"/>
      <c r="D946" s="52"/>
      <c r="E946" s="52"/>
      <c r="F946" s="58"/>
      <c r="G946" s="58"/>
      <c r="H946" s="58"/>
      <c r="I946" s="58"/>
      <c r="J946" s="58"/>
      <c r="K946" s="58"/>
      <c r="L946" s="58"/>
      <c r="M946" s="58"/>
      <c r="N946" s="58"/>
      <c r="O946" s="58"/>
    </row>
    <row r="947">
      <c r="A947" s="95"/>
      <c r="B947" s="95"/>
      <c r="C947" s="52"/>
      <c r="D947" s="52"/>
      <c r="E947" s="52"/>
      <c r="F947" s="58"/>
      <c r="G947" s="58"/>
      <c r="H947" s="58"/>
      <c r="I947" s="58"/>
      <c r="J947" s="58"/>
      <c r="K947" s="58"/>
      <c r="L947" s="58"/>
      <c r="M947" s="58"/>
      <c r="N947" s="58"/>
      <c r="O947" s="58"/>
    </row>
    <row r="948">
      <c r="A948" s="95"/>
      <c r="B948" s="95"/>
      <c r="C948" s="52"/>
      <c r="D948" s="52"/>
      <c r="E948" s="52"/>
      <c r="F948" s="58"/>
      <c r="G948" s="58"/>
      <c r="H948" s="58"/>
      <c r="I948" s="58"/>
      <c r="J948" s="58"/>
      <c r="K948" s="58"/>
      <c r="L948" s="58"/>
      <c r="M948" s="58"/>
      <c r="N948" s="58"/>
      <c r="O948" s="58"/>
    </row>
    <row r="949">
      <c r="A949" s="95"/>
      <c r="B949" s="95"/>
      <c r="C949" s="52"/>
      <c r="D949" s="52"/>
      <c r="E949" s="52"/>
      <c r="F949" s="58"/>
      <c r="G949" s="58"/>
      <c r="H949" s="58"/>
      <c r="I949" s="58"/>
      <c r="J949" s="58"/>
      <c r="K949" s="58"/>
      <c r="L949" s="58"/>
      <c r="M949" s="58"/>
      <c r="N949" s="58"/>
      <c r="O949" s="58"/>
    </row>
    <row r="950">
      <c r="A950" s="95"/>
      <c r="B950" s="95"/>
      <c r="C950" s="52"/>
      <c r="D950" s="52"/>
      <c r="E950" s="52"/>
      <c r="F950" s="58"/>
      <c r="G950" s="58"/>
      <c r="H950" s="58"/>
      <c r="I950" s="58"/>
      <c r="J950" s="58"/>
      <c r="K950" s="58"/>
      <c r="L950" s="58"/>
      <c r="M950" s="58"/>
      <c r="N950" s="58"/>
      <c r="O950" s="58"/>
    </row>
    <row r="951">
      <c r="A951" s="95"/>
      <c r="B951" s="95"/>
      <c r="C951" s="52"/>
      <c r="D951" s="52"/>
      <c r="E951" s="52"/>
      <c r="F951" s="58"/>
      <c r="G951" s="58"/>
      <c r="H951" s="58"/>
      <c r="I951" s="58"/>
      <c r="J951" s="58"/>
      <c r="K951" s="58"/>
      <c r="L951" s="58"/>
      <c r="M951" s="58"/>
      <c r="N951" s="58"/>
      <c r="O951" s="58"/>
    </row>
    <row r="952">
      <c r="A952" s="95"/>
      <c r="B952" s="95"/>
      <c r="C952" s="52"/>
      <c r="D952" s="52"/>
      <c r="E952" s="52"/>
      <c r="F952" s="58"/>
      <c r="G952" s="58"/>
      <c r="H952" s="58"/>
      <c r="I952" s="58"/>
      <c r="J952" s="58"/>
      <c r="K952" s="58"/>
      <c r="L952" s="58"/>
      <c r="M952" s="58"/>
      <c r="N952" s="58"/>
      <c r="O952" s="58"/>
    </row>
    <row r="953">
      <c r="A953" s="95"/>
      <c r="B953" s="95"/>
      <c r="C953" s="52"/>
      <c r="D953" s="52"/>
      <c r="E953" s="52"/>
      <c r="F953" s="58"/>
      <c r="G953" s="58"/>
      <c r="H953" s="58"/>
      <c r="I953" s="58"/>
      <c r="J953" s="58"/>
      <c r="K953" s="58"/>
      <c r="L953" s="58"/>
      <c r="M953" s="58"/>
      <c r="N953" s="58"/>
      <c r="O953" s="58"/>
    </row>
    <row r="954">
      <c r="A954" s="95"/>
      <c r="B954" s="95"/>
      <c r="C954" s="52"/>
      <c r="D954" s="52"/>
      <c r="E954" s="52"/>
      <c r="F954" s="58"/>
      <c r="G954" s="58"/>
      <c r="H954" s="58"/>
      <c r="I954" s="58"/>
      <c r="J954" s="58"/>
      <c r="K954" s="58"/>
      <c r="L954" s="58"/>
      <c r="M954" s="58"/>
      <c r="N954" s="58"/>
      <c r="O954" s="58"/>
    </row>
    <row r="955">
      <c r="A955" s="95"/>
      <c r="B955" s="95"/>
      <c r="C955" s="52"/>
      <c r="D955" s="52"/>
      <c r="E955" s="52"/>
      <c r="F955" s="58"/>
      <c r="G955" s="58"/>
      <c r="H955" s="58"/>
      <c r="I955" s="58"/>
      <c r="J955" s="58"/>
      <c r="K955" s="58"/>
      <c r="L955" s="58"/>
      <c r="M955" s="58"/>
      <c r="N955" s="58"/>
      <c r="O955" s="58"/>
    </row>
    <row r="956">
      <c r="A956" s="95"/>
      <c r="B956" s="95"/>
      <c r="C956" s="52"/>
      <c r="D956" s="52"/>
      <c r="E956" s="52"/>
      <c r="F956" s="58"/>
      <c r="G956" s="58"/>
      <c r="H956" s="58"/>
      <c r="I956" s="58"/>
      <c r="J956" s="58"/>
      <c r="K956" s="58"/>
      <c r="L956" s="58"/>
      <c r="M956" s="58"/>
      <c r="N956" s="58"/>
      <c r="O956" s="58"/>
    </row>
    <row r="957">
      <c r="A957" s="95"/>
      <c r="B957" s="95"/>
      <c r="C957" s="52"/>
      <c r="D957" s="52"/>
      <c r="E957" s="52"/>
      <c r="F957" s="58"/>
      <c r="G957" s="58"/>
      <c r="H957" s="58"/>
      <c r="I957" s="58"/>
      <c r="J957" s="58"/>
      <c r="K957" s="58"/>
      <c r="L957" s="58"/>
      <c r="M957" s="58"/>
      <c r="N957" s="58"/>
      <c r="O957" s="58"/>
    </row>
    <row r="958">
      <c r="A958" s="95"/>
      <c r="B958" s="95"/>
      <c r="C958" s="52"/>
      <c r="D958" s="52"/>
      <c r="E958" s="52"/>
      <c r="F958" s="58"/>
      <c r="G958" s="58"/>
      <c r="H958" s="58"/>
      <c r="I958" s="58"/>
      <c r="J958" s="58"/>
      <c r="K958" s="58"/>
      <c r="L958" s="58"/>
      <c r="M958" s="58"/>
      <c r="N958" s="58"/>
      <c r="O958" s="58"/>
    </row>
    <row r="959">
      <c r="A959" s="95"/>
      <c r="B959" s="95"/>
      <c r="C959" s="52"/>
      <c r="D959" s="52"/>
      <c r="E959" s="52"/>
      <c r="F959" s="58"/>
      <c r="G959" s="58"/>
      <c r="H959" s="58"/>
      <c r="I959" s="58"/>
      <c r="J959" s="58"/>
      <c r="K959" s="58"/>
      <c r="L959" s="58"/>
      <c r="M959" s="58"/>
      <c r="N959" s="58"/>
      <c r="O959" s="58"/>
    </row>
    <row r="960">
      <c r="A960" s="95"/>
      <c r="B960" s="95"/>
      <c r="C960" s="52"/>
      <c r="D960" s="52"/>
      <c r="E960" s="52"/>
      <c r="F960" s="58"/>
      <c r="G960" s="58"/>
      <c r="H960" s="58"/>
      <c r="I960" s="58"/>
      <c r="J960" s="58"/>
      <c r="K960" s="58"/>
      <c r="L960" s="58"/>
      <c r="M960" s="58"/>
      <c r="N960" s="58"/>
      <c r="O960" s="58"/>
    </row>
    <row r="961">
      <c r="A961" s="95"/>
      <c r="B961" s="95"/>
      <c r="C961" s="52"/>
      <c r="D961" s="52"/>
      <c r="E961" s="52"/>
      <c r="F961" s="58"/>
      <c r="G961" s="58"/>
      <c r="H961" s="58"/>
      <c r="I961" s="58"/>
      <c r="J961" s="58"/>
      <c r="K961" s="58"/>
      <c r="L961" s="58"/>
      <c r="M961" s="58"/>
      <c r="N961" s="58"/>
      <c r="O961" s="58"/>
    </row>
    <row r="962">
      <c r="A962" s="95"/>
      <c r="B962" s="95"/>
      <c r="C962" s="52"/>
      <c r="D962" s="52"/>
      <c r="E962" s="52"/>
      <c r="F962" s="58"/>
      <c r="G962" s="58"/>
      <c r="H962" s="58"/>
      <c r="I962" s="58"/>
      <c r="J962" s="58"/>
      <c r="K962" s="58"/>
      <c r="L962" s="58"/>
      <c r="M962" s="58"/>
      <c r="N962" s="58"/>
      <c r="O962" s="58"/>
    </row>
    <row r="963">
      <c r="A963" s="95"/>
      <c r="B963" s="95"/>
      <c r="C963" s="52"/>
      <c r="D963" s="52"/>
      <c r="E963" s="52"/>
      <c r="F963" s="58"/>
      <c r="G963" s="58"/>
      <c r="H963" s="58"/>
      <c r="I963" s="58"/>
      <c r="J963" s="58"/>
      <c r="K963" s="58"/>
      <c r="L963" s="58"/>
      <c r="M963" s="58"/>
      <c r="N963" s="58"/>
      <c r="O963" s="58"/>
    </row>
    <row r="964">
      <c r="A964" s="95"/>
      <c r="B964" s="95"/>
      <c r="C964" s="52"/>
      <c r="D964" s="52"/>
      <c r="E964" s="52"/>
      <c r="F964" s="58"/>
      <c r="G964" s="58"/>
      <c r="H964" s="58"/>
      <c r="I964" s="58"/>
      <c r="J964" s="58"/>
      <c r="K964" s="58"/>
      <c r="L964" s="58"/>
      <c r="M964" s="58"/>
      <c r="N964" s="58"/>
      <c r="O964" s="58"/>
    </row>
    <row r="965">
      <c r="A965" s="95"/>
      <c r="B965" s="95"/>
      <c r="C965" s="52"/>
      <c r="D965" s="52"/>
      <c r="E965" s="52"/>
      <c r="F965" s="58"/>
      <c r="G965" s="58"/>
      <c r="H965" s="58"/>
      <c r="I965" s="58"/>
      <c r="J965" s="58"/>
      <c r="K965" s="58"/>
      <c r="L965" s="58"/>
      <c r="M965" s="58"/>
      <c r="N965" s="58"/>
      <c r="O965" s="58"/>
    </row>
    <row r="966">
      <c r="A966" s="95"/>
      <c r="B966" s="95"/>
      <c r="C966" s="52"/>
      <c r="D966" s="52"/>
      <c r="E966" s="52"/>
      <c r="F966" s="58"/>
      <c r="G966" s="58"/>
      <c r="H966" s="58"/>
      <c r="I966" s="58"/>
      <c r="J966" s="58"/>
      <c r="K966" s="58"/>
      <c r="L966" s="58"/>
      <c r="M966" s="58"/>
      <c r="N966" s="58"/>
      <c r="O966" s="58"/>
    </row>
    <row r="967">
      <c r="A967" s="95"/>
      <c r="B967" s="95"/>
      <c r="C967" s="52"/>
      <c r="D967" s="52"/>
      <c r="E967" s="52"/>
      <c r="F967" s="58"/>
      <c r="G967" s="58"/>
      <c r="H967" s="58"/>
      <c r="I967" s="58"/>
      <c r="J967" s="58"/>
      <c r="K967" s="58"/>
      <c r="L967" s="58"/>
      <c r="M967" s="58"/>
      <c r="N967" s="58"/>
      <c r="O967" s="58"/>
    </row>
    <row r="968">
      <c r="A968" s="95"/>
      <c r="B968" s="95"/>
      <c r="C968" s="52"/>
      <c r="D968" s="52"/>
      <c r="E968" s="52"/>
      <c r="F968" s="58"/>
      <c r="G968" s="58"/>
      <c r="H968" s="58"/>
      <c r="I968" s="58"/>
      <c r="J968" s="58"/>
      <c r="K968" s="58"/>
      <c r="L968" s="58"/>
      <c r="M968" s="58"/>
      <c r="N968" s="58"/>
      <c r="O968" s="58"/>
    </row>
    <row r="969">
      <c r="A969" s="95"/>
      <c r="B969" s="95"/>
      <c r="C969" s="52"/>
      <c r="D969" s="52"/>
      <c r="E969" s="52"/>
      <c r="F969" s="58"/>
      <c r="G969" s="58"/>
      <c r="H969" s="58"/>
      <c r="I969" s="58"/>
      <c r="J969" s="58"/>
      <c r="K969" s="58"/>
      <c r="L969" s="58"/>
      <c r="M969" s="58"/>
      <c r="N969" s="58"/>
      <c r="O969" s="58"/>
    </row>
    <row r="970">
      <c r="A970" s="95"/>
      <c r="B970" s="95"/>
      <c r="C970" s="52"/>
      <c r="D970" s="52"/>
      <c r="E970" s="52"/>
      <c r="F970" s="58"/>
      <c r="G970" s="58"/>
      <c r="H970" s="58"/>
      <c r="I970" s="58"/>
      <c r="J970" s="58"/>
      <c r="K970" s="58"/>
      <c r="L970" s="58"/>
      <c r="M970" s="58"/>
      <c r="N970" s="58"/>
      <c r="O970" s="58"/>
    </row>
    <row r="971">
      <c r="A971" s="95"/>
      <c r="B971" s="95"/>
      <c r="C971" s="52"/>
      <c r="D971" s="52"/>
      <c r="E971" s="52"/>
      <c r="F971" s="58"/>
      <c r="G971" s="58"/>
      <c r="H971" s="58"/>
      <c r="I971" s="58"/>
      <c r="J971" s="58"/>
      <c r="K971" s="58"/>
      <c r="L971" s="58"/>
      <c r="M971" s="58"/>
      <c r="N971" s="58"/>
      <c r="O971" s="58"/>
    </row>
    <row r="972">
      <c r="A972" s="95"/>
      <c r="B972" s="95"/>
      <c r="C972" s="52"/>
      <c r="D972" s="52"/>
      <c r="E972" s="52"/>
      <c r="F972" s="58"/>
      <c r="G972" s="58"/>
      <c r="H972" s="58"/>
      <c r="I972" s="58"/>
      <c r="J972" s="58"/>
      <c r="K972" s="58"/>
      <c r="L972" s="58"/>
      <c r="M972" s="58"/>
      <c r="N972" s="58"/>
      <c r="O972" s="58"/>
    </row>
    <row r="973">
      <c r="A973" s="95"/>
      <c r="B973" s="95"/>
      <c r="C973" s="52"/>
      <c r="D973" s="52"/>
      <c r="E973" s="52"/>
      <c r="F973" s="58"/>
      <c r="G973" s="58"/>
      <c r="H973" s="58"/>
      <c r="I973" s="58"/>
      <c r="J973" s="58"/>
      <c r="K973" s="58"/>
      <c r="L973" s="58"/>
      <c r="M973" s="58"/>
      <c r="N973" s="58"/>
      <c r="O973" s="58"/>
    </row>
    <row r="974">
      <c r="A974" s="95"/>
      <c r="B974" s="95"/>
      <c r="C974" s="52"/>
      <c r="D974" s="52"/>
      <c r="E974" s="52"/>
      <c r="F974" s="58"/>
      <c r="G974" s="58"/>
      <c r="H974" s="58"/>
      <c r="I974" s="58"/>
      <c r="J974" s="58"/>
      <c r="K974" s="58"/>
      <c r="L974" s="58"/>
      <c r="M974" s="58"/>
      <c r="N974" s="58"/>
      <c r="O974" s="58"/>
    </row>
    <row r="975">
      <c r="A975" s="95"/>
      <c r="B975" s="95"/>
      <c r="C975" s="52"/>
      <c r="D975" s="52"/>
      <c r="E975" s="52"/>
      <c r="F975" s="58"/>
      <c r="G975" s="58"/>
      <c r="H975" s="58"/>
      <c r="I975" s="58"/>
      <c r="J975" s="58"/>
      <c r="K975" s="58"/>
      <c r="L975" s="58"/>
      <c r="M975" s="58"/>
      <c r="N975" s="58"/>
      <c r="O975" s="58"/>
    </row>
    <row r="976">
      <c r="A976" s="95"/>
      <c r="B976" s="95"/>
      <c r="C976" s="52"/>
      <c r="D976" s="52"/>
      <c r="E976" s="52"/>
      <c r="F976" s="58"/>
      <c r="G976" s="58"/>
      <c r="H976" s="58"/>
      <c r="I976" s="58"/>
      <c r="J976" s="58"/>
      <c r="K976" s="58"/>
      <c r="L976" s="58"/>
      <c r="M976" s="58"/>
      <c r="N976" s="58"/>
      <c r="O976" s="58"/>
    </row>
    <row r="977">
      <c r="A977" s="95"/>
      <c r="B977" s="95"/>
      <c r="C977" s="52"/>
      <c r="D977" s="52"/>
      <c r="E977" s="52"/>
      <c r="F977" s="58"/>
      <c r="G977" s="58"/>
      <c r="H977" s="58"/>
      <c r="I977" s="58"/>
      <c r="J977" s="58"/>
      <c r="K977" s="58"/>
      <c r="L977" s="58"/>
      <c r="M977" s="58"/>
      <c r="N977" s="58"/>
      <c r="O977" s="58"/>
    </row>
    <row r="978">
      <c r="A978" s="95"/>
      <c r="B978" s="95"/>
      <c r="C978" s="52"/>
      <c r="D978" s="52"/>
      <c r="E978" s="52"/>
      <c r="F978" s="58"/>
      <c r="G978" s="58"/>
      <c r="H978" s="58"/>
      <c r="I978" s="58"/>
      <c r="J978" s="58"/>
      <c r="K978" s="58"/>
      <c r="L978" s="58"/>
      <c r="M978" s="58"/>
      <c r="N978" s="58"/>
      <c r="O978" s="58"/>
    </row>
    <row r="979">
      <c r="A979" s="95"/>
      <c r="B979" s="95"/>
      <c r="C979" s="52"/>
      <c r="D979" s="52"/>
      <c r="E979" s="52"/>
      <c r="F979" s="58"/>
      <c r="G979" s="58"/>
      <c r="H979" s="58"/>
      <c r="I979" s="58"/>
      <c r="J979" s="58"/>
      <c r="K979" s="58"/>
      <c r="L979" s="58"/>
      <c r="M979" s="58"/>
      <c r="N979" s="58"/>
      <c r="O979" s="58"/>
    </row>
    <row r="980">
      <c r="A980" s="95"/>
      <c r="B980" s="95"/>
      <c r="C980" s="52"/>
      <c r="D980" s="52"/>
      <c r="E980" s="52"/>
      <c r="F980" s="58"/>
      <c r="G980" s="58"/>
      <c r="H980" s="58"/>
      <c r="I980" s="58"/>
      <c r="J980" s="58"/>
      <c r="K980" s="58"/>
      <c r="L980" s="58"/>
      <c r="M980" s="58"/>
      <c r="N980" s="58"/>
      <c r="O980" s="58"/>
    </row>
    <row r="981">
      <c r="A981" s="95"/>
      <c r="B981" s="95"/>
      <c r="C981" s="52"/>
      <c r="D981" s="52"/>
      <c r="E981" s="52"/>
      <c r="F981" s="58"/>
      <c r="G981" s="58"/>
      <c r="H981" s="58"/>
      <c r="I981" s="58"/>
      <c r="J981" s="58"/>
      <c r="K981" s="58"/>
      <c r="L981" s="58"/>
      <c r="M981" s="58"/>
      <c r="N981" s="58"/>
      <c r="O981" s="58"/>
    </row>
    <row r="982">
      <c r="A982" s="95"/>
      <c r="B982" s="95"/>
      <c r="C982" s="52"/>
      <c r="D982" s="52"/>
      <c r="E982" s="52"/>
      <c r="F982" s="58"/>
      <c r="G982" s="58"/>
      <c r="H982" s="58"/>
      <c r="I982" s="58"/>
      <c r="J982" s="58"/>
      <c r="K982" s="58"/>
      <c r="L982" s="58"/>
      <c r="M982" s="58"/>
      <c r="N982" s="58"/>
      <c r="O982" s="58"/>
    </row>
    <row r="983">
      <c r="A983" s="95"/>
      <c r="B983" s="95"/>
      <c r="C983" s="52"/>
      <c r="D983" s="52"/>
      <c r="E983" s="52"/>
      <c r="F983" s="58"/>
      <c r="G983" s="58"/>
      <c r="H983" s="58"/>
      <c r="I983" s="58"/>
      <c r="J983" s="58"/>
      <c r="K983" s="58"/>
      <c r="L983" s="58"/>
      <c r="M983" s="58"/>
      <c r="N983" s="58"/>
      <c r="O983" s="58"/>
    </row>
    <row r="984">
      <c r="A984" s="95"/>
      <c r="B984" s="95"/>
      <c r="C984" s="52"/>
      <c r="D984" s="52"/>
      <c r="E984" s="52"/>
      <c r="F984" s="58"/>
      <c r="G984" s="58"/>
      <c r="H984" s="58"/>
      <c r="I984" s="58"/>
      <c r="J984" s="58"/>
      <c r="K984" s="58"/>
      <c r="L984" s="58"/>
      <c r="M984" s="58"/>
      <c r="N984" s="58"/>
      <c r="O984" s="58"/>
    </row>
    <row r="985">
      <c r="A985" s="95"/>
      <c r="B985" s="95"/>
      <c r="C985" s="52"/>
      <c r="D985" s="52"/>
      <c r="E985" s="52"/>
      <c r="F985" s="58"/>
      <c r="G985" s="58"/>
      <c r="H985" s="58"/>
      <c r="I985" s="58"/>
      <c r="J985" s="58"/>
      <c r="K985" s="58"/>
      <c r="L985" s="58"/>
      <c r="M985" s="58"/>
      <c r="N985" s="58"/>
      <c r="O985" s="58"/>
    </row>
    <row r="986">
      <c r="A986" s="95"/>
      <c r="B986" s="95"/>
      <c r="C986" s="52"/>
      <c r="D986" s="52"/>
      <c r="E986" s="52"/>
      <c r="F986" s="58"/>
      <c r="G986" s="58"/>
      <c r="H986" s="58"/>
      <c r="I986" s="58"/>
      <c r="J986" s="58"/>
      <c r="K986" s="58"/>
      <c r="L986" s="58"/>
      <c r="M986" s="58"/>
      <c r="N986" s="58"/>
      <c r="O986" s="58"/>
    </row>
    <row r="987">
      <c r="A987" s="95"/>
      <c r="B987" s="95"/>
      <c r="C987" s="52"/>
      <c r="D987" s="52"/>
      <c r="E987" s="52"/>
      <c r="F987" s="58"/>
      <c r="G987" s="58"/>
      <c r="H987" s="58"/>
      <c r="I987" s="58"/>
      <c r="J987" s="58"/>
      <c r="K987" s="58"/>
      <c r="L987" s="58"/>
      <c r="M987" s="58"/>
      <c r="N987" s="58"/>
      <c r="O987" s="58"/>
    </row>
    <row r="988">
      <c r="A988" s="95"/>
      <c r="B988" s="95"/>
      <c r="C988" s="52"/>
      <c r="D988" s="52"/>
      <c r="E988" s="52"/>
      <c r="F988" s="58"/>
      <c r="G988" s="58"/>
      <c r="H988" s="58"/>
      <c r="I988" s="58"/>
      <c r="J988" s="58"/>
      <c r="K988" s="58"/>
      <c r="L988" s="58"/>
      <c r="M988" s="58"/>
      <c r="N988" s="58"/>
      <c r="O988" s="58"/>
    </row>
    <row r="989">
      <c r="A989" s="95"/>
      <c r="B989" s="95"/>
      <c r="C989" s="52"/>
      <c r="D989" s="52"/>
      <c r="E989" s="52"/>
      <c r="F989" s="58"/>
      <c r="G989" s="58"/>
      <c r="H989" s="58"/>
      <c r="I989" s="58"/>
      <c r="J989" s="58"/>
      <c r="K989" s="58"/>
      <c r="L989" s="58"/>
      <c r="M989" s="58"/>
      <c r="N989" s="58"/>
      <c r="O989" s="58"/>
    </row>
    <row r="990">
      <c r="A990" s="95"/>
      <c r="B990" s="95"/>
      <c r="C990" s="52"/>
      <c r="D990" s="52"/>
      <c r="E990" s="52"/>
      <c r="F990" s="58"/>
      <c r="G990" s="58"/>
      <c r="H990" s="58"/>
      <c r="I990" s="58"/>
      <c r="J990" s="58"/>
      <c r="K990" s="58"/>
      <c r="L990" s="58"/>
      <c r="M990" s="58"/>
      <c r="N990" s="58"/>
      <c r="O990" s="58"/>
    </row>
    <row r="991">
      <c r="A991" s="95"/>
      <c r="B991" s="95"/>
      <c r="C991" s="52"/>
      <c r="D991" s="52"/>
      <c r="E991" s="52"/>
      <c r="F991" s="58"/>
      <c r="G991" s="58"/>
      <c r="H991" s="58"/>
      <c r="I991" s="58"/>
      <c r="J991" s="58"/>
      <c r="K991" s="58"/>
      <c r="L991" s="58"/>
      <c r="M991" s="58"/>
      <c r="N991" s="58"/>
      <c r="O991" s="58"/>
    </row>
    <row r="992">
      <c r="A992" s="95"/>
      <c r="B992" s="95"/>
      <c r="C992" s="52"/>
      <c r="D992" s="52"/>
      <c r="E992" s="52"/>
      <c r="F992" s="58"/>
      <c r="G992" s="58"/>
      <c r="H992" s="58"/>
      <c r="I992" s="58"/>
      <c r="J992" s="58"/>
      <c r="K992" s="58"/>
      <c r="L992" s="58"/>
      <c r="M992" s="58"/>
      <c r="N992" s="58"/>
      <c r="O992" s="58"/>
    </row>
    <row r="993">
      <c r="A993" s="95"/>
      <c r="B993" s="95"/>
      <c r="C993" s="52"/>
      <c r="D993" s="52"/>
      <c r="E993" s="52"/>
      <c r="F993" s="58"/>
      <c r="G993" s="58"/>
      <c r="H993" s="58"/>
      <c r="I993" s="58"/>
      <c r="J993" s="58"/>
      <c r="K993" s="58"/>
      <c r="L993" s="58"/>
      <c r="M993" s="58"/>
      <c r="N993" s="58"/>
      <c r="O993" s="58"/>
    </row>
    <row r="994">
      <c r="A994" s="95"/>
      <c r="B994" s="95"/>
      <c r="C994" s="52"/>
      <c r="D994" s="52"/>
      <c r="E994" s="52"/>
      <c r="F994" s="58"/>
      <c r="G994" s="58"/>
      <c r="H994" s="58"/>
      <c r="I994" s="58"/>
      <c r="J994" s="58"/>
      <c r="K994" s="58"/>
      <c r="L994" s="58"/>
      <c r="M994" s="58"/>
      <c r="N994" s="58"/>
      <c r="O994" s="58"/>
    </row>
    <row r="995">
      <c r="A995" s="95"/>
      <c r="B995" s="95"/>
      <c r="C995" s="52"/>
      <c r="D995" s="52"/>
      <c r="E995" s="52"/>
      <c r="F995" s="58"/>
      <c r="G995" s="58"/>
      <c r="H995" s="58"/>
      <c r="I995" s="58"/>
      <c r="J995" s="58"/>
      <c r="K995" s="58"/>
      <c r="L995" s="58"/>
      <c r="M995" s="58"/>
      <c r="N995" s="58"/>
      <c r="O995" s="58"/>
    </row>
    <row r="996">
      <c r="A996" s="95"/>
      <c r="B996" s="95"/>
      <c r="C996" s="52"/>
      <c r="D996" s="52"/>
      <c r="E996" s="52"/>
      <c r="F996" s="58"/>
      <c r="G996" s="58"/>
      <c r="H996" s="58"/>
      <c r="I996" s="58"/>
      <c r="J996" s="58"/>
      <c r="K996" s="58"/>
      <c r="L996" s="58"/>
      <c r="M996" s="58"/>
      <c r="N996" s="58"/>
      <c r="O996" s="58"/>
    </row>
    <row r="997">
      <c r="A997" s="95"/>
      <c r="B997" s="95"/>
      <c r="C997" s="52"/>
      <c r="D997" s="52"/>
      <c r="E997" s="52"/>
      <c r="F997" s="58"/>
      <c r="G997" s="58"/>
      <c r="H997" s="58"/>
      <c r="I997" s="58"/>
      <c r="J997" s="58"/>
      <c r="K997" s="58"/>
      <c r="L997" s="58"/>
      <c r="M997" s="58"/>
      <c r="N997" s="58"/>
      <c r="O997" s="58"/>
    </row>
    <row r="998">
      <c r="A998" s="95"/>
      <c r="B998" s="95"/>
      <c r="C998" s="52"/>
      <c r="D998" s="52"/>
      <c r="E998" s="52"/>
      <c r="F998" s="58"/>
      <c r="G998" s="58"/>
      <c r="H998" s="58"/>
      <c r="I998" s="58"/>
      <c r="J998" s="58"/>
      <c r="K998" s="58"/>
      <c r="L998" s="58"/>
      <c r="M998" s="58"/>
      <c r="N998" s="58"/>
      <c r="O998" s="58"/>
    </row>
    <row r="999">
      <c r="A999" s="95"/>
      <c r="B999" s="95"/>
      <c r="C999" s="52"/>
      <c r="D999" s="52"/>
      <c r="E999" s="52"/>
      <c r="F999" s="58"/>
      <c r="G999" s="58"/>
      <c r="H999" s="58"/>
      <c r="I999" s="58"/>
      <c r="J999" s="58"/>
      <c r="K999" s="58"/>
      <c r="L999" s="58"/>
      <c r="M999" s="58"/>
      <c r="N999" s="58"/>
      <c r="O999" s="58"/>
    </row>
  </sheetData>
  <autoFilter ref="$A$1:$G$163"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3" max="3" width="21.63"/>
    <col customWidth="1" min="5" max="6" width="19.38"/>
    <col customWidth="1" min="7" max="7" width="18.5"/>
    <col customWidth="1" min="8" max="8" width="25.13"/>
    <col customWidth="1" min="9" max="9" width="25.0"/>
    <col customWidth="1" min="10" max="10" width="18.25"/>
    <col customWidth="1" min="11" max="11" width="54.5"/>
    <col customWidth="1" min="12" max="12" width="29.75"/>
  </cols>
  <sheetData>
    <row r="1">
      <c r="A1" s="96" t="s">
        <v>476</v>
      </c>
      <c r="B1" s="96" t="s">
        <v>1</v>
      </c>
      <c r="C1" s="96" t="s">
        <v>477</v>
      </c>
      <c r="D1" s="96" t="s">
        <v>478</v>
      </c>
      <c r="E1" s="96" t="s">
        <v>479</v>
      </c>
      <c r="F1" s="96" t="s">
        <v>480</v>
      </c>
      <c r="G1" s="96" t="s">
        <v>481</v>
      </c>
      <c r="H1" s="96" t="s">
        <v>482</v>
      </c>
      <c r="I1" s="97" t="s">
        <v>483</v>
      </c>
      <c r="J1" s="96" t="s">
        <v>484</v>
      </c>
      <c r="K1" s="96" t="s">
        <v>485</v>
      </c>
      <c r="L1" s="96" t="s">
        <v>486</v>
      </c>
      <c r="M1" s="98"/>
    </row>
    <row r="2">
      <c r="A2" s="99" t="s">
        <v>71</v>
      </c>
      <c r="B2" s="99" t="s">
        <v>487</v>
      </c>
      <c r="C2" s="99" t="s">
        <v>224</v>
      </c>
      <c r="D2" s="99">
        <v>1.0</v>
      </c>
      <c r="E2" s="100" t="s">
        <v>460</v>
      </c>
      <c r="F2" s="101">
        <v>45876.0</v>
      </c>
      <c r="G2" s="99" t="s">
        <v>488</v>
      </c>
      <c r="H2" s="99" t="s">
        <v>489</v>
      </c>
      <c r="I2" s="102" t="s">
        <v>73</v>
      </c>
      <c r="J2" s="103"/>
      <c r="K2" s="104" t="s">
        <v>75</v>
      </c>
      <c r="L2" s="104"/>
    </row>
    <row r="3">
      <c r="A3" s="99" t="s">
        <v>490</v>
      </c>
      <c r="B3" s="104" t="s">
        <v>491</v>
      </c>
      <c r="C3" s="104" t="s">
        <v>488</v>
      </c>
      <c r="D3" s="99">
        <v>1.0</v>
      </c>
      <c r="E3" s="100" t="s">
        <v>492</v>
      </c>
      <c r="F3" s="105">
        <v>46079.0</v>
      </c>
      <c r="G3" s="99" t="s">
        <v>493</v>
      </c>
      <c r="H3" s="99" t="s">
        <v>31</v>
      </c>
      <c r="I3" s="104" t="s">
        <v>33</v>
      </c>
      <c r="J3" s="103"/>
      <c r="K3" s="104" t="s">
        <v>494</v>
      </c>
      <c r="L3" s="104" t="s">
        <v>494</v>
      </c>
    </row>
    <row r="4">
      <c r="A4" s="99" t="s">
        <v>495</v>
      </c>
      <c r="B4" s="104" t="s">
        <v>496</v>
      </c>
      <c r="C4" s="104" t="s">
        <v>224</v>
      </c>
      <c r="D4" s="99">
        <v>2.0</v>
      </c>
      <c r="E4" s="100" t="s">
        <v>497</v>
      </c>
      <c r="F4" s="105">
        <v>46199.0</v>
      </c>
      <c r="G4" s="99" t="s">
        <v>488</v>
      </c>
      <c r="H4" s="104" t="s">
        <v>498</v>
      </c>
      <c r="I4" s="104" t="s">
        <v>499</v>
      </c>
      <c r="J4" s="106"/>
      <c r="K4" s="107" t="s">
        <v>500</v>
      </c>
      <c r="L4" s="107" t="s">
        <v>500</v>
      </c>
    </row>
    <row r="5">
      <c r="A5" s="99" t="s">
        <v>501</v>
      </c>
      <c r="B5" s="104" t="s">
        <v>502</v>
      </c>
      <c r="C5" s="104" t="s">
        <v>503</v>
      </c>
      <c r="D5" s="99">
        <v>1.0</v>
      </c>
      <c r="E5" s="100" t="s">
        <v>504</v>
      </c>
      <c r="F5" s="108">
        <v>46138.0</v>
      </c>
      <c r="G5" s="99" t="s">
        <v>505</v>
      </c>
      <c r="H5" s="104" t="s">
        <v>506</v>
      </c>
      <c r="I5" s="104" t="s">
        <v>507</v>
      </c>
      <c r="J5" s="106"/>
      <c r="K5" s="107" t="s">
        <v>500</v>
      </c>
      <c r="L5" s="107" t="s">
        <v>500</v>
      </c>
    </row>
    <row r="6">
      <c r="A6" s="99" t="s">
        <v>508</v>
      </c>
      <c r="B6" s="104" t="s">
        <v>509</v>
      </c>
      <c r="C6" s="104" t="s">
        <v>30</v>
      </c>
      <c r="D6" s="99">
        <v>1.0</v>
      </c>
      <c r="E6" s="100" t="s">
        <v>510</v>
      </c>
      <c r="F6" s="105">
        <v>46168.0</v>
      </c>
      <c r="G6" s="99" t="s">
        <v>21</v>
      </c>
      <c r="H6" s="104" t="s">
        <v>511</v>
      </c>
      <c r="I6" s="104" t="s">
        <v>512</v>
      </c>
      <c r="J6" s="102" t="s">
        <v>513</v>
      </c>
      <c r="K6" s="107" t="s">
        <v>514</v>
      </c>
      <c r="L6" s="107" t="s">
        <v>515</v>
      </c>
    </row>
    <row r="7">
      <c r="A7" s="99" t="s">
        <v>516</v>
      </c>
      <c r="B7" s="104" t="s">
        <v>517</v>
      </c>
      <c r="C7" s="104" t="s">
        <v>518</v>
      </c>
      <c r="D7" s="99">
        <v>2.0</v>
      </c>
      <c r="E7" s="105"/>
      <c r="F7" s="105">
        <v>46199.0</v>
      </c>
      <c r="G7" s="99" t="s">
        <v>173</v>
      </c>
      <c r="H7" s="104" t="s">
        <v>519</v>
      </c>
      <c r="I7" s="104" t="s">
        <v>137</v>
      </c>
      <c r="J7" s="106"/>
      <c r="K7" s="107" t="s">
        <v>520</v>
      </c>
      <c r="L7" s="107" t="s">
        <v>521</v>
      </c>
    </row>
    <row r="8">
      <c r="A8" s="99" t="s">
        <v>522</v>
      </c>
      <c r="B8" s="104" t="s">
        <v>523</v>
      </c>
      <c r="C8" s="104" t="s">
        <v>488</v>
      </c>
      <c r="D8" s="99">
        <v>2.0</v>
      </c>
      <c r="E8" s="100" t="s">
        <v>524</v>
      </c>
      <c r="F8" s="105">
        <v>46168.0</v>
      </c>
      <c r="G8" s="99" t="s">
        <v>525</v>
      </c>
      <c r="H8" s="104" t="s">
        <v>526</v>
      </c>
      <c r="I8" s="104" t="s">
        <v>527</v>
      </c>
      <c r="J8" s="102" t="s">
        <v>528</v>
      </c>
      <c r="K8" s="107" t="s">
        <v>529</v>
      </c>
      <c r="L8" s="107" t="s">
        <v>530</v>
      </c>
    </row>
    <row r="9">
      <c r="A9" s="109" t="s">
        <v>531</v>
      </c>
      <c r="B9" s="109" t="s">
        <v>532</v>
      </c>
      <c r="C9" s="109" t="s">
        <v>488</v>
      </c>
      <c r="D9" s="110">
        <v>1.0</v>
      </c>
      <c r="E9" s="100" t="s">
        <v>510</v>
      </c>
      <c r="F9" s="105">
        <v>46199.0</v>
      </c>
      <c r="G9" s="99" t="s">
        <v>525</v>
      </c>
      <c r="H9" s="110" t="s">
        <v>533</v>
      </c>
      <c r="I9" s="110" t="s">
        <v>534</v>
      </c>
      <c r="J9" s="111"/>
      <c r="K9" s="112" t="s">
        <v>535</v>
      </c>
      <c r="L9" s="112" t="s">
        <v>536</v>
      </c>
    </row>
    <row r="10">
      <c r="E10" s="113"/>
      <c r="F10" s="113"/>
    </row>
    <row r="11">
      <c r="E11" s="113"/>
      <c r="F11" s="113"/>
    </row>
    <row r="12">
      <c r="E12" s="113"/>
      <c r="F12" s="113"/>
    </row>
    <row r="13">
      <c r="E13" s="113"/>
      <c r="F13" s="113"/>
    </row>
    <row r="14">
      <c r="E14" s="113"/>
      <c r="F14" s="113"/>
    </row>
    <row r="15">
      <c r="E15" s="113"/>
      <c r="F15" s="113"/>
    </row>
    <row r="16">
      <c r="E16" s="113"/>
      <c r="F16" s="113"/>
    </row>
    <row r="17">
      <c r="E17" s="113"/>
      <c r="F17" s="113"/>
    </row>
    <row r="18">
      <c r="E18" s="113"/>
      <c r="F18" s="113"/>
    </row>
    <row r="19">
      <c r="E19" s="113"/>
      <c r="F19" s="113"/>
    </row>
    <row r="20">
      <c r="E20" s="113"/>
      <c r="F20" s="113"/>
    </row>
    <row r="21">
      <c r="E21" s="113"/>
      <c r="F21" s="113"/>
    </row>
    <row r="22">
      <c r="E22" s="113"/>
      <c r="F22" s="113"/>
    </row>
    <row r="23">
      <c r="E23" s="113"/>
      <c r="F23" s="113"/>
    </row>
    <row r="24">
      <c r="E24" s="113"/>
      <c r="F24" s="113"/>
    </row>
    <row r="25">
      <c r="E25" s="113"/>
      <c r="F25" s="113"/>
    </row>
    <row r="26">
      <c r="E26" s="113"/>
      <c r="F26" s="113"/>
    </row>
    <row r="27">
      <c r="E27" s="113"/>
      <c r="F27" s="113"/>
    </row>
    <row r="28">
      <c r="E28" s="113"/>
      <c r="F28" s="113"/>
    </row>
    <row r="29">
      <c r="E29" s="113"/>
      <c r="F29" s="113"/>
    </row>
    <row r="30">
      <c r="E30" s="113"/>
      <c r="F30" s="113"/>
    </row>
    <row r="31">
      <c r="E31" s="113"/>
      <c r="F31" s="113"/>
    </row>
    <row r="32">
      <c r="E32" s="113"/>
      <c r="F32" s="113"/>
    </row>
    <row r="33">
      <c r="E33" s="113"/>
      <c r="F33" s="113"/>
    </row>
    <row r="34">
      <c r="E34" s="113"/>
      <c r="F34" s="113"/>
    </row>
    <row r="35">
      <c r="E35" s="113"/>
      <c r="F35" s="113"/>
    </row>
    <row r="36">
      <c r="E36" s="113"/>
      <c r="F36" s="113"/>
    </row>
    <row r="37">
      <c r="E37" s="113"/>
      <c r="F37" s="113"/>
    </row>
    <row r="38">
      <c r="E38" s="113"/>
      <c r="F38" s="113"/>
    </row>
    <row r="39">
      <c r="E39" s="113"/>
      <c r="F39" s="113"/>
    </row>
    <row r="40">
      <c r="E40" s="113"/>
      <c r="F40" s="113"/>
    </row>
    <row r="41">
      <c r="E41" s="113"/>
      <c r="F41" s="113"/>
    </row>
    <row r="42">
      <c r="E42" s="113"/>
      <c r="F42" s="113"/>
    </row>
    <row r="43">
      <c r="E43" s="113"/>
      <c r="F43" s="113"/>
    </row>
    <row r="44">
      <c r="E44" s="113"/>
      <c r="F44" s="113"/>
    </row>
    <row r="45">
      <c r="E45" s="113"/>
      <c r="F45" s="113"/>
    </row>
    <row r="46">
      <c r="E46" s="113"/>
      <c r="F46" s="113"/>
    </row>
    <row r="47">
      <c r="E47" s="113"/>
      <c r="F47" s="113"/>
    </row>
    <row r="48">
      <c r="E48" s="113"/>
      <c r="F48" s="113"/>
    </row>
    <row r="49">
      <c r="E49" s="113"/>
      <c r="F49" s="113"/>
    </row>
    <row r="50">
      <c r="E50" s="113"/>
      <c r="F50" s="113"/>
    </row>
    <row r="51">
      <c r="E51" s="113"/>
      <c r="F51" s="113"/>
    </row>
    <row r="52">
      <c r="E52" s="113"/>
      <c r="F52" s="113"/>
    </row>
    <row r="53">
      <c r="E53" s="113"/>
      <c r="F53" s="113"/>
    </row>
    <row r="54">
      <c r="E54" s="113"/>
      <c r="F54" s="113"/>
    </row>
    <row r="55">
      <c r="E55" s="113"/>
      <c r="F55" s="113"/>
    </row>
    <row r="56">
      <c r="E56" s="113"/>
      <c r="F56" s="113"/>
    </row>
    <row r="57">
      <c r="E57" s="113"/>
      <c r="F57" s="113"/>
    </row>
    <row r="58">
      <c r="E58" s="113"/>
      <c r="F58" s="113"/>
    </row>
    <row r="59">
      <c r="E59" s="113"/>
      <c r="F59" s="113"/>
    </row>
    <row r="60">
      <c r="E60" s="113"/>
      <c r="F60" s="113"/>
    </row>
    <row r="61">
      <c r="E61" s="113"/>
      <c r="F61" s="113"/>
    </row>
    <row r="62">
      <c r="E62" s="113"/>
      <c r="F62" s="113"/>
    </row>
    <row r="63">
      <c r="E63" s="113"/>
      <c r="F63" s="113"/>
    </row>
    <row r="64">
      <c r="E64" s="113"/>
      <c r="F64" s="113"/>
    </row>
    <row r="65">
      <c r="E65" s="113"/>
      <c r="F65" s="113"/>
    </row>
    <row r="66">
      <c r="E66" s="113"/>
      <c r="F66" s="113"/>
    </row>
    <row r="67">
      <c r="E67" s="113"/>
      <c r="F67" s="113"/>
    </row>
    <row r="68">
      <c r="E68" s="113"/>
      <c r="F68" s="113"/>
    </row>
    <row r="69">
      <c r="E69" s="113"/>
      <c r="F69" s="113"/>
    </row>
    <row r="70">
      <c r="E70" s="113"/>
      <c r="F70" s="113"/>
    </row>
    <row r="71">
      <c r="E71" s="113"/>
      <c r="F71" s="113"/>
    </row>
    <row r="72">
      <c r="E72" s="113"/>
      <c r="F72" s="113"/>
    </row>
    <row r="73">
      <c r="E73" s="113"/>
      <c r="F73" s="113"/>
    </row>
    <row r="74">
      <c r="E74" s="113"/>
      <c r="F74" s="113"/>
    </row>
    <row r="75">
      <c r="E75" s="113"/>
      <c r="F75" s="113"/>
    </row>
    <row r="76">
      <c r="E76" s="113"/>
      <c r="F76" s="113"/>
    </row>
    <row r="77">
      <c r="E77" s="113"/>
      <c r="F77" s="113"/>
    </row>
    <row r="78">
      <c r="E78" s="113"/>
      <c r="F78" s="113"/>
    </row>
    <row r="79">
      <c r="E79" s="113"/>
      <c r="F79" s="113"/>
    </row>
    <row r="80">
      <c r="E80" s="113"/>
      <c r="F80" s="113"/>
    </row>
    <row r="81">
      <c r="E81" s="113"/>
      <c r="F81" s="113"/>
    </row>
    <row r="82">
      <c r="E82" s="113"/>
      <c r="F82" s="113"/>
    </row>
    <row r="83">
      <c r="E83" s="113"/>
      <c r="F83" s="113"/>
    </row>
    <row r="84">
      <c r="E84" s="113"/>
      <c r="F84" s="113"/>
    </row>
    <row r="85">
      <c r="E85" s="113"/>
      <c r="F85" s="113"/>
    </row>
    <row r="86">
      <c r="E86" s="113"/>
      <c r="F86" s="113"/>
    </row>
    <row r="87">
      <c r="E87" s="113"/>
      <c r="F87" s="113"/>
    </row>
    <row r="88">
      <c r="E88" s="113"/>
      <c r="F88" s="113"/>
    </row>
    <row r="89">
      <c r="E89" s="113"/>
      <c r="F89" s="113"/>
    </row>
    <row r="90">
      <c r="E90" s="113"/>
      <c r="F90" s="113"/>
    </row>
    <row r="91">
      <c r="E91" s="113"/>
      <c r="F91" s="113"/>
    </row>
    <row r="92">
      <c r="E92" s="113"/>
      <c r="F92" s="113"/>
    </row>
    <row r="93">
      <c r="E93" s="113"/>
      <c r="F93" s="113"/>
    </row>
    <row r="94">
      <c r="E94" s="113"/>
      <c r="F94" s="113"/>
    </row>
    <row r="95">
      <c r="E95" s="113"/>
      <c r="F95" s="113"/>
    </row>
    <row r="96">
      <c r="E96" s="113"/>
      <c r="F96" s="113"/>
    </row>
    <row r="97">
      <c r="E97" s="113"/>
      <c r="F97" s="113"/>
    </row>
    <row r="98">
      <c r="E98" s="113"/>
      <c r="F98" s="113"/>
    </row>
    <row r="99">
      <c r="E99" s="113"/>
      <c r="F99" s="113"/>
    </row>
    <row r="100">
      <c r="E100" s="113"/>
      <c r="F100" s="113"/>
    </row>
    <row r="101">
      <c r="E101" s="113"/>
      <c r="F101" s="113"/>
    </row>
    <row r="102">
      <c r="E102" s="113"/>
      <c r="F102" s="113"/>
    </row>
    <row r="103">
      <c r="E103" s="113"/>
      <c r="F103" s="113"/>
    </row>
    <row r="104">
      <c r="E104" s="113"/>
      <c r="F104" s="113"/>
    </row>
    <row r="105">
      <c r="E105" s="113"/>
      <c r="F105" s="113"/>
    </row>
    <row r="106">
      <c r="E106" s="113"/>
      <c r="F106" s="113"/>
    </row>
    <row r="107">
      <c r="E107" s="113"/>
      <c r="F107" s="113"/>
    </row>
    <row r="108">
      <c r="E108" s="113"/>
      <c r="F108" s="113"/>
    </row>
    <row r="109">
      <c r="E109" s="113"/>
      <c r="F109" s="113"/>
    </row>
    <row r="110">
      <c r="E110" s="113"/>
      <c r="F110" s="113"/>
    </row>
    <row r="111">
      <c r="E111" s="113"/>
      <c r="F111" s="113"/>
    </row>
    <row r="112">
      <c r="E112" s="113"/>
      <c r="F112" s="113"/>
    </row>
    <row r="113">
      <c r="E113" s="113"/>
      <c r="F113" s="113"/>
    </row>
    <row r="114">
      <c r="E114" s="113"/>
      <c r="F114" s="113"/>
    </row>
    <row r="115">
      <c r="E115" s="113"/>
      <c r="F115" s="113"/>
    </row>
    <row r="116">
      <c r="E116" s="113"/>
      <c r="F116" s="113"/>
    </row>
    <row r="117">
      <c r="E117" s="113"/>
      <c r="F117" s="113"/>
    </row>
    <row r="118">
      <c r="E118" s="113"/>
      <c r="F118" s="113"/>
    </row>
    <row r="119">
      <c r="E119" s="113"/>
      <c r="F119" s="113"/>
    </row>
    <row r="120">
      <c r="E120" s="113"/>
      <c r="F120" s="113"/>
    </row>
    <row r="121">
      <c r="E121" s="113"/>
      <c r="F121" s="113"/>
    </row>
    <row r="122">
      <c r="E122" s="113"/>
      <c r="F122" s="113"/>
    </row>
    <row r="123">
      <c r="E123" s="113"/>
      <c r="F123" s="113"/>
    </row>
    <row r="124">
      <c r="E124" s="113"/>
      <c r="F124" s="113"/>
    </row>
    <row r="125">
      <c r="E125" s="113"/>
      <c r="F125" s="113"/>
    </row>
    <row r="126">
      <c r="E126" s="113"/>
      <c r="F126" s="113"/>
    </row>
    <row r="127">
      <c r="E127" s="113"/>
      <c r="F127" s="113"/>
    </row>
    <row r="128">
      <c r="E128" s="113"/>
      <c r="F128" s="113"/>
    </row>
    <row r="129">
      <c r="E129" s="113"/>
      <c r="F129" s="113"/>
    </row>
    <row r="130">
      <c r="E130" s="113"/>
      <c r="F130" s="113"/>
    </row>
    <row r="131">
      <c r="E131" s="113"/>
      <c r="F131" s="113"/>
    </row>
    <row r="132">
      <c r="E132" s="113"/>
      <c r="F132" s="113"/>
    </row>
    <row r="133">
      <c r="E133" s="113"/>
      <c r="F133" s="113"/>
    </row>
    <row r="134">
      <c r="E134" s="113"/>
      <c r="F134" s="113"/>
    </row>
    <row r="135">
      <c r="E135" s="113"/>
      <c r="F135" s="113"/>
    </row>
    <row r="136">
      <c r="E136" s="113"/>
      <c r="F136" s="113"/>
    </row>
    <row r="137">
      <c r="E137" s="113"/>
      <c r="F137" s="113"/>
    </row>
    <row r="138">
      <c r="E138" s="113"/>
      <c r="F138" s="113"/>
    </row>
    <row r="139">
      <c r="E139" s="113"/>
      <c r="F139" s="113"/>
    </row>
    <row r="140">
      <c r="E140" s="113"/>
      <c r="F140" s="113"/>
    </row>
    <row r="141">
      <c r="E141" s="113"/>
      <c r="F141" s="113"/>
    </row>
    <row r="142">
      <c r="E142" s="113"/>
      <c r="F142" s="113"/>
    </row>
    <row r="143">
      <c r="E143" s="113"/>
      <c r="F143" s="113"/>
    </row>
    <row r="144">
      <c r="E144" s="113"/>
      <c r="F144" s="113"/>
    </row>
    <row r="145">
      <c r="E145" s="113"/>
      <c r="F145" s="113"/>
    </row>
    <row r="146">
      <c r="E146" s="113"/>
      <c r="F146" s="113"/>
    </row>
    <row r="147">
      <c r="E147" s="113"/>
      <c r="F147" s="113"/>
    </row>
    <row r="148">
      <c r="E148" s="113"/>
      <c r="F148" s="113"/>
    </row>
    <row r="149">
      <c r="E149" s="113"/>
      <c r="F149" s="113"/>
    </row>
    <row r="150">
      <c r="E150" s="113"/>
      <c r="F150" s="113"/>
    </row>
    <row r="151">
      <c r="E151" s="113"/>
      <c r="F151" s="113"/>
    </row>
    <row r="152">
      <c r="E152" s="113"/>
      <c r="F152" s="113"/>
    </row>
    <row r="153">
      <c r="E153" s="113"/>
      <c r="F153" s="113"/>
    </row>
    <row r="154">
      <c r="E154" s="113"/>
      <c r="F154" s="113"/>
    </row>
    <row r="155">
      <c r="E155" s="113"/>
      <c r="F155" s="113"/>
    </row>
    <row r="156">
      <c r="E156" s="113"/>
      <c r="F156" s="113"/>
    </row>
    <row r="157">
      <c r="E157" s="113"/>
      <c r="F157" s="113"/>
    </row>
    <row r="158">
      <c r="E158" s="113"/>
      <c r="F158" s="113"/>
    </row>
    <row r="159">
      <c r="E159" s="113"/>
      <c r="F159" s="113"/>
    </row>
    <row r="160">
      <c r="E160" s="113"/>
      <c r="F160" s="113"/>
    </row>
    <row r="161">
      <c r="E161" s="113"/>
      <c r="F161" s="113"/>
    </row>
    <row r="162">
      <c r="E162" s="113"/>
      <c r="F162" s="113"/>
    </row>
    <row r="163">
      <c r="E163" s="113"/>
      <c r="F163" s="113"/>
    </row>
    <row r="164">
      <c r="E164" s="113"/>
      <c r="F164" s="113"/>
    </row>
    <row r="165">
      <c r="E165" s="113"/>
      <c r="F165" s="113"/>
    </row>
    <row r="166">
      <c r="E166" s="113"/>
      <c r="F166" s="113"/>
    </row>
    <row r="167">
      <c r="E167" s="113"/>
      <c r="F167" s="113"/>
    </row>
    <row r="168">
      <c r="E168" s="113"/>
      <c r="F168" s="113"/>
    </row>
    <row r="169">
      <c r="E169" s="113"/>
      <c r="F169" s="113"/>
    </row>
    <row r="170">
      <c r="E170" s="113"/>
      <c r="F170" s="113"/>
    </row>
    <row r="171">
      <c r="E171" s="113"/>
      <c r="F171" s="113"/>
    </row>
    <row r="172">
      <c r="E172" s="113"/>
      <c r="F172" s="113"/>
    </row>
    <row r="173">
      <c r="E173" s="113"/>
      <c r="F173" s="113"/>
    </row>
    <row r="174">
      <c r="E174" s="113"/>
      <c r="F174" s="113"/>
    </row>
    <row r="175">
      <c r="E175" s="113"/>
      <c r="F175" s="113"/>
    </row>
    <row r="176">
      <c r="E176" s="113"/>
      <c r="F176" s="113"/>
    </row>
    <row r="177">
      <c r="E177" s="113"/>
      <c r="F177" s="113"/>
    </row>
    <row r="178">
      <c r="E178" s="113"/>
      <c r="F178" s="113"/>
    </row>
    <row r="179">
      <c r="E179" s="113"/>
      <c r="F179" s="113"/>
    </row>
    <row r="180">
      <c r="E180" s="113"/>
      <c r="F180" s="113"/>
    </row>
    <row r="181">
      <c r="E181" s="113"/>
      <c r="F181" s="113"/>
    </row>
    <row r="182">
      <c r="E182" s="113"/>
      <c r="F182" s="113"/>
    </row>
    <row r="183">
      <c r="E183" s="113"/>
      <c r="F183" s="113"/>
    </row>
    <row r="184">
      <c r="E184" s="113"/>
      <c r="F184" s="113"/>
    </row>
    <row r="185">
      <c r="E185" s="113"/>
      <c r="F185" s="113"/>
    </row>
    <row r="186">
      <c r="E186" s="113"/>
      <c r="F186" s="113"/>
    </row>
    <row r="187">
      <c r="E187" s="113"/>
      <c r="F187" s="113"/>
    </row>
    <row r="188">
      <c r="E188" s="113"/>
      <c r="F188" s="113"/>
    </row>
    <row r="189">
      <c r="E189" s="113"/>
      <c r="F189" s="113"/>
    </row>
    <row r="190">
      <c r="E190" s="113"/>
      <c r="F190" s="113"/>
    </row>
    <row r="191">
      <c r="E191" s="113"/>
      <c r="F191" s="113"/>
    </row>
    <row r="192">
      <c r="E192" s="113"/>
      <c r="F192" s="113"/>
    </row>
    <row r="193">
      <c r="E193" s="113"/>
      <c r="F193" s="113"/>
    </row>
    <row r="194">
      <c r="E194" s="113"/>
      <c r="F194" s="113"/>
    </row>
    <row r="195">
      <c r="E195" s="113"/>
      <c r="F195" s="113"/>
    </row>
    <row r="196">
      <c r="E196" s="113"/>
      <c r="F196" s="113"/>
    </row>
    <row r="197">
      <c r="E197" s="113"/>
      <c r="F197" s="113"/>
    </row>
    <row r="198">
      <c r="E198" s="113"/>
      <c r="F198" s="113"/>
    </row>
    <row r="199">
      <c r="E199" s="113"/>
      <c r="F199" s="113"/>
    </row>
    <row r="200">
      <c r="E200" s="113"/>
      <c r="F200" s="113"/>
    </row>
    <row r="201">
      <c r="E201" s="113"/>
      <c r="F201" s="113"/>
    </row>
    <row r="202">
      <c r="E202" s="113"/>
      <c r="F202" s="113"/>
    </row>
    <row r="203">
      <c r="E203" s="113"/>
      <c r="F203" s="113"/>
    </row>
    <row r="204">
      <c r="E204" s="113"/>
      <c r="F204" s="113"/>
    </row>
    <row r="205">
      <c r="E205" s="113"/>
      <c r="F205" s="113"/>
    </row>
    <row r="206">
      <c r="E206" s="113"/>
      <c r="F206" s="113"/>
    </row>
    <row r="207">
      <c r="E207" s="113"/>
      <c r="F207" s="113"/>
    </row>
    <row r="208">
      <c r="E208" s="113"/>
      <c r="F208" s="113"/>
    </row>
    <row r="209">
      <c r="E209" s="113"/>
      <c r="F209" s="113"/>
    </row>
    <row r="210">
      <c r="E210" s="113"/>
      <c r="F210" s="113"/>
    </row>
    <row r="211">
      <c r="E211" s="113"/>
      <c r="F211" s="113"/>
    </row>
    <row r="212">
      <c r="E212" s="113"/>
      <c r="F212" s="113"/>
    </row>
    <row r="213">
      <c r="E213" s="113"/>
      <c r="F213" s="113"/>
    </row>
    <row r="214">
      <c r="E214" s="113"/>
      <c r="F214" s="113"/>
    </row>
    <row r="215">
      <c r="E215" s="113"/>
      <c r="F215" s="113"/>
    </row>
    <row r="216">
      <c r="E216" s="113"/>
      <c r="F216" s="113"/>
    </row>
    <row r="217">
      <c r="E217" s="113"/>
      <c r="F217" s="113"/>
    </row>
    <row r="218">
      <c r="E218" s="113"/>
      <c r="F218" s="113"/>
    </row>
    <row r="219">
      <c r="E219" s="113"/>
      <c r="F219" s="113"/>
    </row>
    <row r="220">
      <c r="E220" s="113"/>
      <c r="F220" s="113"/>
    </row>
    <row r="221">
      <c r="E221" s="113"/>
      <c r="F221" s="113"/>
    </row>
    <row r="222">
      <c r="E222" s="113"/>
      <c r="F222" s="113"/>
    </row>
    <row r="223">
      <c r="E223" s="113"/>
      <c r="F223" s="113"/>
    </row>
    <row r="224">
      <c r="E224" s="113"/>
      <c r="F224" s="113"/>
    </row>
    <row r="225">
      <c r="E225" s="113"/>
      <c r="F225" s="113"/>
    </row>
    <row r="226">
      <c r="E226" s="113"/>
      <c r="F226" s="113"/>
    </row>
    <row r="227">
      <c r="E227" s="113"/>
      <c r="F227" s="113"/>
    </row>
    <row r="228">
      <c r="E228" s="113"/>
      <c r="F228" s="113"/>
    </row>
    <row r="229">
      <c r="E229" s="113"/>
      <c r="F229" s="113"/>
    </row>
    <row r="230">
      <c r="E230" s="113"/>
      <c r="F230" s="113"/>
    </row>
    <row r="231">
      <c r="E231" s="113"/>
      <c r="F231" s="113"/>
    </row>
    <row r="232">
      <c r="E232" s="113"/>
      <c r="F232" s="113"/>
    </row>
    <row r="233">
      <c r="E233" s="113"/>
      <c r="F233" s="113"/>
    </row>
    <row r="234">
      <c r="E234" s="113"/>
      <c r="F234" s="113"/>
    </row>
    <row r="235">
      <c r="E235" s="113"/>
      <c r="F235" s="113"/>
    </row>
    <row r="236">
      <c r="E236" s="113"/>
      <c r="F236" s="113"/>
    </row>
    <row r="237">
      <c r="E237" s="113"/>
      <c r="F237" s="113"/>
    </row>
    <row r="238">
      <c r="E238" s="113"/>
      <c r="F238" s="113"/>
    </row>
    <row r="239">
      <c r="E239" s="113"/>
      <c r="F239" s="113"/>
    </row>
    <row r="240">
      <c r="E240" s="113"/>
      <c r="F240" s="113"/>
    </row>
    <row r="241">
      <c r="E241" s="113"/>
      <c r="F241" s="113"/>
    </row>
    <row r="242">
      <c r="E242" s="113"/>
      <c r="F242" s="113"/>
    </row>
    <row r="243">
      <c r="E243" s="113"/>
      <c r="F243" s="113"/>
    </row>
    <row r="244">
      <c r="E244" s="113"/>
      <c r="F244" s="113"/>
    </row>
    <row r="245">
      <c r="E245" s="113"/>
      <c r="F245" s="113"/>
    </row>
    <row r="246">
      <c r="E246" s="113"/>
      <c r="F246" s="113"/>
    </row>
    <row r="247">
      <c r="E247" s="113"/>
      <c r="F247" s="113"/>
    </row>
    <row r="248">
      <c r="E248" s="113"/>
      <c r="F248" s="113"/>
    </row>
    <row r="249">
      <c r="E249" s="113"/>
      <c r="F249" s="113"/>
    </row>
    <row r="250">
      <c r="E250" s="113"/>
      <c r="F250" s="113"/>
    </row>
    <row r="251">
      <c r="E251" s="113"/>
      <c r="F251" s="113"/>
    </row>
    <row r="252">
      <c r="E252" s="113"/>
      <c r="F252" s="113"/>
    </row>
    <row r="253">
      <c r="E253" s="113"/>
      <c r="F253" s="113"/>
    </row>
    <row r="254">
      <c r="E254" s="113"/>
      <c r="F254" s="113"/>
    </row>
    <row r="255">
      <c r="E255" s="113"/>
      <c r="F255" s="113"/>
    </row>
    <row r="256">
      <c r="E256" s="113"/>
      <c r="F256" s="113"/>
    </row>
    <row r="257">
      <c r="E257" s="113"/>
      <c r="F257" s="113"/>
    </row>
    <row r="258">
      <c r="E258" s="113"/>
      <c r="F258" s="113"/>
    </row>
    <row r="259">
      <c r="E259" s="113"/>
      <c r="F259" s="113"/>
    </row>
    <row r="260">
      <c r="E260" s="113"/>
      <c r="F260" s="113"/>
    </row>
    <row r="261">
      <c r="E261" s="113"/>
      <c r="F261" s="113"/>
    </row>
    <row r="262">
      <c r="E262" s="113"/>
      <c r="F262" s="113"/>
    </row>
    <row r="263">
      <c r="E263" s="113"/>
      <c r="F263" s="113"/>
    </row>
    <row r="264">
      <c r="E264" s="113"/>
      <c r="F264" s="113"/>
    </row>
    <row r="265">
      <c r="E265" s="113"/>
      <c r="F265" s="113"/>
    </row>
    <row r="266">
      <c r="E266" s="113"/>
      <c r="F266" s="113"/>
    </row>
    <row r="267">
      <c r="E267" s="113"/>
      <c r="F267" s="113"/>
    </row>
    <row r="268">
      <c r="E268" s="113"/>
      <c r="F268" s="113"/>
    </row>
    <row r="269">
      <c r="E269" s="113"/>
      <c r="F269" s="113"/>
    </row>
    <row r="270">
      <c r="E270" s="113"/>
      <c r="F270" s="113"/>
    </row>
    <row r="271">
      <c r="E271" s="113"/>
      <c r="F271" s="113"/>
    </row>
    <row r="272">
      <c r="E272" s="113"/>
      <c r="F272" s="113"/>
    </row>
    <row r="273">
      <c r="E273" s="113"/>
      <c r="F273" s="113"/>
    </row>
    <row r="274">
      <c r="E274" s="113"/>
      <c r="F274" s="113"/>
    </row>
    <row r="275">
      <c r="E275" s="113"/>
      <c r="F275" s="113"/>
    </row>
    <row r="276">
      <c r="E276" s="113"/>
      <c r="F276" s="113"/>
    </row>
    <row r="277">
      <c r="E277" s="113"/>
      <c r="F277" s="113"/>
    </row>
    <row r="278">
      <c r="E278" s="113"/>
      <c r="F278" s="113"/>
    </row>
    <row r="279">
      <c r="E279" s="113"/>
      <c r="F279" s="113"/>
    </row>
    <row r="280">
      <c r="E280" s="113"/>
      <c r="F280" s="113"/>
    </row>
    <row r="281">
      <c r="E281" s="113"/>
      <c r="F281" s="113"/>
    </row>
    <row r="282">
      <c r="E282" s="113"/>
      <c r="F282" s="113"/>
    </row>
    <row r="283">
      <c r="E283" s="113"/>
      <c r="F283" s="113"/>
    </row>
    <row r="284">
      <c r="E284" s="113"/>
      <c r="F284" s="113"/>
    </row>
    <row r="285">
      <c r="E285" s="113"/>
      <c r="F285" s="113"/>
    </row>
    <row r="286">
      <c r="E286" s="113"/>
      <c r="F286" s="113"/>
    </row>
    <row r="287">
      <c r="E287" s="113"/>
      <c r="F287" s="113"/>
    </row>
    <row r="288">
      <c r="E288" s="113"/>
      <c r="F288" s="113"/>
    </row>
    <row r="289">
      <c r="E289" s="113"/>
      <c r="F289" s="113"/>
    </row>
    <row r="290">
      <c r="E290" s="113"/>
      <c r="F290" s="113"/>
    </row>
    <row r="291">
      <c r="E291" s="113"/>
      <c r="F291" s="113"/>
    </row>
    <row r="292">
      <c r="E292" s="113"/>
      <c r="F292" s="113"/>
    </row>
    <row r="293">
      <c r="E293" s="113"/>
      <c r="F293" s="113"/>
    </row>
    <row r="294">
      <c r="E294" s="113"/>
      <c r="F294" s="113"/>
    </row>
    <row r="295">
      <c r="E295" s="113"/>
      <c r="F295" s="113"/>
    </row>
    <row r="296">
      <c r="E296" s="113"/>
      <c r="F296" s="113"/>
    </row>
    <row r="297">
      <c r="E297" s="113"/>
      <c r="F297" s="113"/>
    </row>
    <row r="298">
      <c r="E298" s="113"/>
      <c r="F298" s="113"/>
    </row>
    <row r="299">
      <c r="E299" s="113"/>
      <c r="F299" s="113"/>
    </row>
    <row r="300">
      <c r="E300" s="113"/>
      <c r="F300" s="113"/>
    </row>
    <row r="301">
      <c r="E301" s="113"/>
      <c r="F301" s="113"/>
    </row>
    <row r="302">
      <c r="E302" s="113"/>
      <c r="F302" s="113"/>
    </row>
    <row r="303">
      <c r="E303" s="113"/>
      <c r="F303" s="113"/>
    </row>
    <row r="304">
      <c r="E304" s="113"/>
      <c r="F304" s="113"/>
    </row>
    <row r="305">
      <c r="E305" s="113"/>
      <c r="F305" s="113"/>
    </row>
    <row r="306">
      <c r="E306" s="113"/>
      <c r="F306" s="113"/>
    </row>
    <row r="307">
      <c r="E307" s="113"/>
      <c r="F307" s="113"/>
    </row>
    <row r="308">
      <c r="E308" s="113"/>
      <c r="F308" s="113"/>
    </row>
    <row r="309">
      <c r="E309" s="113"/>
      <c r="F309" s="113"/>
    </row>
    <row r="310">
      <c r="E310" s="113"/>
      <c r="F310" s="113"/>
    </row>
    <row r="311">
      <c r="E311" s="113"/>
      <c r="F311" s="113"/>
    </row>
    <row r="312">
      <c r="E312" s="113"/>
      <c r="F312" s="113"/>
    </row>
    <row r="313">
      <c r="E313" s="113"/>
      <c r="F313" s="113"/>
    </row>
    <row r="314">
      <c r="E314" s="113"/>
      <c r="F314" s="113"/>
    </row>
    <row r="315">
      <c r="E315" s="113"/>
      <c r="F315" s="113"/>
    </row>
    <row r="316">
      <c r="E316" s="113"/>
      <c r="F316" s="113"/>
    </row>
    <row r="317">
      <c r="E317" s="113"/>
      <c r="F317" s="113"/>
    </row>
    <row r="318">
      <c r="E318" s="113"/>
      <c r="F318" s="113"/>
    </row>
    <row r="319">
      <c r="E319" s="113"/>
      <c r="F319" s="113"/>
    </row>
    <row r="320">
      <c r="E320" s="113"/>
      <c r="F320" s="113"/>
    </row>
    <row r="321">
      <c r="E321" s="113"/>
      <c r="F321" s="113"/>
    </row>
    <row r="322">
      <c r="E322" s="113"/>
      <c r="F322" s="113"/>
    </row>
    <row r="323">
      <c r="E323" s="113"/>
      <c r="F323" s="113"/>
    </row>
    <row r="324">
      <c r="E324" s="113"/>
      <c r="F324" s="113"/>
    </row>
    <row r="325">
      <c r="E325" s="113"/>
      <c r="F325" s="113"/>
    </row>
    <row r="326">
      <c r="E326" s="113"/>
      <c r="F326" s="113"/>
    </row>
    <row r="327">
      <c r="E327" s="113"/>
      <c r="F327" s="113"/>
    </row>
    <row r="328">
      <c r="E328" s="113"/>
      <c r="F328" s="113"/>
    </row>
    <row r="329">
      <c r="E329" s="113"/>
      <c r="F329" s="113"/>
    </row>
    <row r="330">
      <c r="E330" s="113"/>
      <c r="F330" s="113"/>
    </row>
    <row r="331">
      <c r="E331" s="113"/>
      <c r="F331" s="113"/>
    </row>
    <row r="332">
      <c r="E332" s="113"/>
      <c r="F332" s="113"/>
    </row>
    <row r="333">
      <c r="E333" s="113"/>
      <c r="F333" s="113"/>
    </row>
    <row r="334">
      <c r="E334" s="113"/>
      <c r="F334" s="113"/>
    </row>
    <row r="335">
      <c r="E335" s="113"/>
      <c r="F335" s="113"/>
    </row>
    <row r="336">
      <c r="E336" s="113"/>
      <c r="F336" s="113"/>
    </row>
    <row r="337">
      <c r="E337" s="113"/>
      <c r="F337" s="113"/>
    </row>
    <row r="338">
      <c r="E338" s="113"/>
      <c r="F338" s="113"/>
    </row>
    <row r="339">
      <c r="E339" s="113"/>
      <c r="F339" s="113"/>
    </row>
    <row r="340">
      <c r="E340" s="113"/>
      <c r="F340" s="113"/>
    </row>
    <row r="341">
      <c r="E341" s="113"/>
      <c r="F341" s="113"/>
    </row>
    <row r="342">
      <c r="E342" s="113"/>
      <c r="F342" s="113"/>
    </row>
    <row r="343">
      <c r="E343" s="113"/>
      <c r="F343" s="113"/>
    </row>
    <row r="344">
      <c r="E344" s="113"/>
      <c r="F344" s="113"/>
    </row>
    <row r="345">
      <c r="E345" s="113"/>
      <c r="F345" s="113"/>
    </row>
    <row r="346">
      <c r="E346" s="113"/>
      <c r="F346" s="113"/>
    </row>
    <row r="347">
      <c r="E347" s="113"/>
      <c r="F347" s="113"/>
    </row>
    <row r="348">
      <c r="E348" s="113"/>
      <c r="F348" s="113"/>
    </row>
    <row r="349">
      <c r="E349" s="113"/>
      <c r="F349" s="113"/>
    </row>
    <row r="350">
      <c r="E350" s="113"/>
      <c r="F350" s="113"/>
    </row>
    <row r="351">
      <c r="E351" s="113"/>
      <c r="F351" s="113"/>
    </row>
    <row r="352">
      <c r="E352" s="113"/>
      <c r="F352" s="113"/>
    </row>
    <row r="353">
      <c r="E353" s="113"/>
      <c r="F353" s="113"/>
    </row>
    <row r="354">
      <c r="E354" s="113"/>
      <c r="F354" s="113"/>
    </row>
    <row r="355">
      <c r="E355" s="113"/>
      <c r="F355" s="113"/>
    </row>
    <row r="356">
      <c r="E356" s="113"/>
      <c r="F356" s="113"/>
    </row>
    <row r="357">
      <c r="E357" s="113"/>
      <c r="F357" s="113"/>
    </row>
    <row r="358">
      <c r="E358" s="113"/>
      <c r="F358" s="113"/>
    </row>
    <row r="359">
      <c r="E359" s="113"/>
      <c r="F359" s="113"/>
    </row>
    <row r="360">
      <c r="E360" s="113"/>
      <c r="F360" s="113"/>
    </row>
    <row r="361">
      <c r="E361" s="113"/>
      <c r="F361" s="113"/>
    </row>
    <row r="362">
      <c r="E362" s="113"/>
      <c r="F362" s="113"/>
    </row>
    <row r="363">
      <c r="E363" s="113"/>
      <c r="F363" s="113"/>
    </row>
    <row r="364">
      <c r="E364" s="113"/>
      <c r="F364" s="113"/>
    </row>
    <row r="365">
      <c r="E365" s="113"/>
      <c r="F365" s="113"/>
    </row>
    <row r="366">
      <c r="E366" s="113"/>
      <c r="F366" s="113"/>
    </row>
    <row r="367">
      <c r="E367" s="113"/>
      <c r="F367" s="113"/>
    </row>
    <row r="368">
      <c r="E368" s="113"/>
      <c r="F368" s="113"/>
    </row>
    <row r="369">
      <c r="E369" s="113"/>
      <c r="F369" s="113"/>
    </row>
    <row r="370">
      <c r="E370" s="113"/>
      <c r="F370" s="113"/>
    </row>
    <row r="371">
      <c r="E371" s="113"/>
      <c r="F371" s="113"/>
    </row>
    <row r="372">
      <c r="E372" s="113"/>
      <c r="F372" s="113"/>
    </row>
    <row r="373">
      <c r="E373" s="113"/>
      <c r="F373" s="113"/>
    </row>
    <row r="374">
      <c r="E374" s="113"/>
      <c r="F374" s="113"/>
    </row>
    <row r="375">
      <c r="E375" s="113"/>
      <c r="F375" s="113"/>
    </row>
    <row r="376">
      <c r="E376" s="113"/>
      <c r="F376" s="113"/>
    </row>
    <row r="377">
      <c r="E377" s="113"/>
      <c r="F377" s="113"/>
    </row>
    <row r="378">
      <c r="E378" s="113"/>
      <c r="F378" s="113"/>
    </row>
    <row r="379">
      <c r="E379" s="113"/>
      <c r="F379" s="113"/>
    </row>
    <row r="380">
      <c r="E380" s="113"/>
      <c r="F380" s="113"/>
    </row>
    <row r="381">
      <c r="E381" s="113"/>
      <c r="F381" s="113"/>
    </row>
    <row r="382">
      <c r="E382" s="113"/>
      <c r="F382" s="113"/>
    </row>
    <row r="383">
      <c r="E383" s="113"/>
      <c r="F383" s="113"/>
    </row>
    <row r="384">
      <c r="E384" s="113"/>
      <c r="F384" s="113"/>
    </row>
    <row r="385">
      <c r="E385" s="113"/>
      <c r="F385" s="113"/>
    </row>
    <row r="386">
      <c r="E386" s="113"/>
      <c r="F386" s="113"/>
    </row>
    <row r="387">
      <c r="E387" s="113"/>
      <c r="F387" s="113"/>
    </row>
    <row r="388">
      <c r="E388" s="113"/>
      <c r="F388" s="113"/>
    </row>
    <row r="389">
      <c r="E389" s="113"/>
      <c r="F389" s="113"/>
    </row>
    <row r="390">
      <c r="E390" s="113"/>
      <c r="F390" s="113"/>
    </row>
    <row r="391">
      <c r="E391" s="113"/>
      <c r="F391" s="113"/>
    </row>
    <row r="392">
      <c r="E392" s="113"/>
      <c r="F392" s="113"/>
    </row>
    <row r="393">
      <c r="E393" s="113"/>
      <c r="F393" s="113"/>
    </row>
    <row r="394">
      <c r="E394" s="113"/>
      <c r="F394" s="113"/>
    </row>
    <row r="395">
      <c r="E395" s="113"/>
      <c r="F395" s="113"/>
    </row>
    <row r="396">
      <c r="E396" s="113"/>
      <c r="F396" s="113"/>
    </row>
    <row r="397">
      <c r="E397" s="113"/>
      <c r="F397" s="113"/>
    </row>
    <row r="398">
      <c r="E398" s="113"/>
      <c r="F398" s="113"/>
    </row>
    <row r="399">
      <c r="E399" s="113"/>
      <c r="F399" s="113"/>
    </row>
    <row r="400">
      <c r="E400" s="113"/>
      <c r="F400" s="113"/>
    </row>
    <row r="401">
      <c r="E401" s="113"/>
      <c r="F401" s="113"/>
    </row>
    <row r="402">
      <c r="E402" s="113"/>
      <c r="F402" s="113"/>
    </row>
    <row r="403">
      <c r="E403" s="113"/>
      <c r="F403" s="113"/>
    </row>
    <row r="404">
      <c r="E404" s="113"/>
      <c r="F404" s="113"/>
    </row>
    <row r="405">
      <c r="E405" s="113"/>
      <c r="F405" s="113"/>
    </row>
    <row r="406">
      <c r="E406" s="113"/>
      <c r="F406" s="113"/>
    </row>
    <row r="407">
      <c r="E407" s="113"/>
      <c r="F407" s="113"/>
    </row>
    <row r="408">
      <c r="E408" s="113"/>
      <c r="F408" s="113"/>
    </row>
    <row r="409">
      <c r="E409" s="113"/>
      <c r="F409" s="113"/>
    </row>
    <row r="410">
      <c r="E410" s="113"/>
      <c r="F410" s="113"/>
    </row>
    <row r="411">
      <c r="E411" s="113"/>
      <c r="F411" s="113"/>
    </row>
    <row r="412">
      <c r="E412" s="113"/>
      <c r="F412" s="113"/>
    </row>
    <row r="413">
      <c r="E413" s="113"/>
      <c r="F413" s="113"/>
    </row>
    <row r="414">
      <c r="E414" s="113"/>
      <c r="F414" s="113"/>
    </row>
    <row r="415">
      <c r="E415" s="113"/>
      <c r="F415" s="113"/>
    </row>
    <row r="416">
      <c r="E416" s="113"/>
      <c r="F416" s="113"/>
    </row>
    <row r="417">
      <c r="E417" s="113"/>
      <c r="F417" s="113"/>
    </row>
    <row r="418">
      <c r="E418" s="113"/>
      <c r="F418" s="113"/>
    </row>
    <row r="419">
      <c r="E419" s="113"/>
      <c r="F419" s="113"/>
    </row>
    <row r="420">
      <c r="E420" s="113"/>
      <c r="F420" s="113"/>
    </row>
    <row r="421">
      <c r="E421" s="113"/>
      <c r="F421" s="113"/>
    </row>
    <row r="422">
      <c r="E422" s="113"/>
      <c r="F422" s="113"/>
    </row>
    <row r="423">
      <c r="E423" s="113"/>
      <c r="F423" s="113"/>
    </row>
    <row r="424">
      <c r="E424" s="113"/>
      <c r="F424" s="113"/>
    </row>
    <row r="425">
      <c r="E425" s="113"/>
      <c r="F425" s="113"/>
    </row>
    <row r="426">
      <c r="E426" s="113"/>
      <c r="F426" s="113"/>
    </row>
    <row r="427">
      <c r="E427" s="113"/>
      <c r="F427" s="113"/>
    </row>
    <row r="428">
      <c r="E428" s="113"/>
      <c r="F428" s="113"/>
    </row>
    <row r="429">
      <c r="E429" s="113"/>
      <c r="F429" s="113"/>
    </row>
    <row r="430">
      <c r="E430" s="113"/>
      <c r="F430" s="113"/>
    </row>
    <row r="431">
      <c r="E431" s="113"/>
      <c r="F431" s="113"/>
    </row>
    <row r="432">
      <c r="E432" s="113"/>
      <c r="F432" s="113"/>
    </row>
    <row r="433">
      <c r="E433" s="113"/>
      <c r="F433" s="113"/>
    </row>
    <row r="434">
      <c r="E434" s="113"/>
      <c r="F434" s="113"/>
    </row>
    <row r="435">
      <c r="E435" s="113"/>
      <c r="F435" s="113"/>
    </row>
    <row r="436">
      <c r="E436" s="113"/>
      <c r="F436" s="113"/>
    </row>
    <row r="437">
      <c r="E437" s="113"/>
      <c r="F437" s="113"/>
    </row>
    <row r="438">
      <c r="E438" s="113"/>
      <c r="F438" s="113"/>
    </row>
    <row r="439">
      <c r="E439" s="113"/>
      <c r="F439" s="113"/>
    </row>
    <row r="440">
      <c r="E440" s="113"/>
      <c r="F440" s="113"/>
    </row>
    <row r="441">
      <c r="E441" s="113"/>
      <c r="F441" s="113"/>
    </row>
    <row r="442">
      <c r="E442" s="113"/>
      <c r="F442" s="113"/>
    </row>
    <row r="443">
      <c r="E443" s="113"/>
      <c r="F443" s="113"/>
    </row>
    <row r="444">
      <c r="E444" s="113"/>
      <c r="F444" s="113"/>
    </row>
    <row r="445">
      <c r="E445" s="113"/>
      <c r="F445" s="113"/>
    </row>
    <row r="446">
      <c r="E446" s="113"/>
      <c r="F446" s="113"/>
    </row>
    <row r="447">
      <c r="E447" s="113"/>
      <c r="F447" s="113"/>
    </row>
    <row r="448">
      <c r="E448" s="113"/>
      <c r="F448" s="113"/>
    </row>
    <row r="449">
      <c r="E449" s="113"/>
      <c r="F449" s="113"/>
    </row>
    <row r="450">
      <c r="E450" s="113"/>
      <c r="F450" s="113"/>
    </row>
    <row r="451">
      <c r="E451" s="113"/>
      <c r="F451" s="113"/>
    </row>
    <row r="452">
      <c r="E452" s="113"/>
      <c r="F452" s="113"/>
    </row>
    <row r="453">
      <c r="E453" s="113"/>
      <c r="F453" s="113"/>
    </row>
    <row r="454">
      <c r="E454" s="113"/>
      <c r="F454" s="113"/>
    </row>
    <row r="455">
      <c r="E455" s="113"/>
      <c r="F455" s="113"/>
    </row>
    <row r="456">
      <c r="E456" s="113"/>
      <c r="F456" s="113"/>
    </row>
    <row r="457">
      <c r="E457" s="113"/>
      <c r="F457" s="113"/>
    </row>
    <row r="458">
      <c r="E458" s="113"/>
      <c r="F458" s="113"/>
    </row>
    <row r="459">
      <c r="E459" s="113"/>
      <c r="F459" s="113"/>
    </row>
    <row r="460">
      <c r="E460" s="113"/>
      <c r="F460" s="113"/>
    </row>
    <row r="461">
      <c r="E461" s="113"/>
      <c r="F461" s="113"/>
    </row>
    <row r="462">
      <c r="E462" s="113"/>
      <c r="F462" s="113"/>
    </row>
    <row r="463">
      <c r="E463" s="113"/>
      <c r="F463" s="113"/>
    </row>
    <row r="464">
      <c r="E464" s="113"/>
      <c r="F464" s="113"/>
    </row>
    <row r="465">
      <c r="E465" s="113"/>
      <c r="F465" s="113"/>
    </row>
    <row r="466">
      <c r="E466" s="113"/>
      <c r="F466" s="113"/>
    </row>
    <row r="467">
      <c r="E467" s="113"/>
      <c r="F467" s="113"/>
    </row>
    <row r="468">
      <c r="E468" s="113"/>
      <c r="F468" s="113"/>
    </row>
    <row r="469">
      <c r="E469" s="113"/>
      <c r="F469" s="113"/>
    </row>
    <row r="470">
      <c r="E470" s="113"/>
      <c r="F470" s="113"/>
    </row>
    <row r="471">
      <c r="E471" s="113"/>
      <c r="F471" s="113"/>
    </row>
    <row r="472">
      <c r="E472" s="113"/>
      <c r="F472" s="113"/>
    </row>
    <row r="473">
      <c r="E473" s="113"/>
      <c r="F473" s="113"/>
    </row>
    <row r="474">
      <c r="E474" s="113"/>
      <c r="F474" s="113"/>
    </row>
    <row r="475">
      <c r="E475" s="113"/>
      <c r="F475" s="113"/>
    </row>
    <row r="476">
      <c r="E476" s="113"/>
      <c r="F476" s="113"/>
    </row>
    <row r="477">
      <c r="E477" s="113"/>
      <c r="F477" s="113"/>
    </row>
    <row r="478">
      <c r="E478" s="113"/>
      <c r="F478" s="113"/>
    </row>
    <row r="479">
      <c r="E479" s="113"/>
      <c r="F479" s="113"/>
    </row>
    <row r="480">
      <c r="E480" s="113"/>
      <c r="F480" s="113"/>
    </row>
    <row r="481">
      <c r="E481" s="113"/>
      <c r="F481" s="113"/>
    </row>
    <row r="482">
      <c r="E482" s="113"/>
      <c r="F482" s="113"/>
    </row>
    <row r="483">
      <c r="E483" s="113"/>
      <c r="F483" s="113"/>
    </row>
    <row r="484">
      <c r="E484" s="113"/>
      <c r="F484" s="113"/>
    </row>
    <row r="485">
      <c r="E485" s="113"/>
      <c r="F485" s="113"/>
    </row>
    <row r="486">
      <c r="E486" s="113"/>
      <c r="F486" s="113"/>
    </row>
    <row r="487">
      <c r="E487" s="113"/>
      <c r="F487" s="113"/>
    </row>
    <row r="488">
      <c r="E488" s="113"/>
      <c r="F488" s="113"/>
    </row>
    <row r="489">
      <c r="E489" s="113"/>
      <c r="F489" s="113"/>
    </row>
    <row r="490">
      <c r="E490" s="113"/>
      <c r="F490" s="113"/>
    </row>
    <row r="491">
      <c r="E491" s="113"/>
      <c r="F491" s="113"/>
    </row>
    <row r="492">
      <c r="E492" s="113"/>
      <c r="F492" s="113"/>
    </row>
    <row r="493">
      <c r="E493" s="113"/>
      <c r="F493" s="113"/>
    </row>
    <row r="494">
      <c r="E494" s="113"/>
      <c r="F494" s="113"/>
    </row>
    <row r="495">
      <c r="E495" s="113"/>
      <c r="F495" s="113"/>
    </row>
    <row r="496">
      <c r="E496" s="113"/>
      <c r="F496" s="113"/>
    </row>
    <row r="497">
      <c r="E497" s="113"/>
      <c r="F497" s="113"/>
    </row>
    <row r="498">
      <c r="E498" s="113"/>
      <c r="F498" s="113"/>
    </row>
    <row r="499">
      <c r="E499" s="113"/>
      <c r="F499" s="113"/>
    </row>
    <row r="500">
      <c r="E500" s="113"/>
      <c r="F500" s="113"/>
    </row>
    <row r="501">
      <c r="E501" s="113"/>
      <c r="F501" s="113"/>
    </row>
    <row r="502">
      <c r="E502" s="113"/>
      <c r="F502" s="113"/>
    </row>
    <row r="503">
      <c r="E503" s="113"/>
      <c r="F503" s="113"/>
    </row>
    <row r="504">
      <c r="E504" s="113"/>
      <c r="F504" s="113"/>
    </row>
    <row r="505">
      <c r="E505" s="113"/>
      <c r="F505" s="113"/>
    </row>
    <row r="506">
      <c r="E506" s="113"/>
      <c r="F506" s="113"/>
    </row>
    <row r="507">
      <c r="E507" s="113"/>
      <c r="F507" s="113"/>
    </row>
    <row r="508">
      <c r="E508" s="113"/>
      <c r="F508" s="113"/>
    </row>
    <row r="509">
      <c r="E509" s="113"/>
      <c r="F509" s="113"/>
    </row>
    <row r="510">
      <c r="E510" s="113"/>
      <c r="F510" s="113"/>
    </row>
    <row r="511">
      <c r="E511" s="113"/>
      <c r="F511" s="113"/>
    </row>
    <row r="512">
      <c r="E512" s="113"/>
      <c r="F512" s="113"/>
    </row>
    <row r="513">
      <c r="E513" s="113"/>
      <c r="F513" s="113"/>
    </row>
    <row r="514">
      <c r="E514" s="113"/>
      <c r="F514" s="113"/>
    </row>
    <row r="515">
      <c r="E515" s="113"/>
      <c r="F515" s="113"/>
    </row>
    <row r="516">
      <c r="E516" s="113"/>
      <c r="F516" s="113"/>
    </row>
    <row r="517">
      <c r="E517" s="113"/>
      <c r="F517" s="113"/>
    </row>
    <row r="518">
      <c r="E518" s="113"/>
      <c r="F518" s="113"/>
    </row>
    <row r="519">
      <c r="E519" s="113"/>
      <c r="F519" s="113"/>
    </row>
    <row r="520">
      <c r="E520" s="113"/>
      <c r="F520" s="113"/>
    </row>
    <row r="521">
      <c r="E521" s="113"/>
      <c r="F521" s="113"/>
    </row>
    <row r="522">
      <c r="E522" s="113"/>
      <c r="F522" s="113"/>
    </row>
    <row r="523">
      <c r="E523" s="113"/>
      <c r="F523" s="113"/>
    </row>
    <row r="524">
      <c r="E524" s="113"/>
      <c r="F524" s="113"/>
    </row>
    <row r="525">
      <c r="E525" s="113"/>
      <c r="F525" s="113"/>
    </row>
    <row r="526">
      <c r="E526" s="113"/>
      <c r="F526" s="113"/>
    </row>
    <row r="527">
      <c r="E527" s="113"/>
      <c r="F527" s="113"/>
    </row>
    <row r="528">
      <c r="E528" s="113"/>
      <c r="F528" s="113"/>
    </row>
    <row r="529">
      <c r="E529" s="113"/>
      <c r="F529" s="113"/>
    </row>
    <row r="530">
      <c r="E530" s="113"/>
      <c r="F530" s="113"/>
    </row>
    <row r="531">
      <c r="E531" s="113"/>
      <c r="F531" s="113"/>
    </row>
    <row r="532">
      <c r="E532" s="113"/>
      <c r="F532" s="113"/>
    </row>
    <row r="533">
      <c r="E533" s="113"/>
      <c r="F533" s="113"/>
    </row>
    <row r="534">
      <c r="E534" s="113"/>
      <c r="F534" s="113"/>
    </row>
    <row r="535">
      <c r="E535" s="113"/>
      <c r="F535" s="113"/>
    </row>
    <row r="536">
      <c r="E536" s="113"/>
      <c r="F536" s="113"/>
    </row>
    <row r="537">
      <c r="E537" s="113"/>
      <c r="F537" s="113"/>
    </row>
    <row r="538">
      <c r="E538" s="113"/>
      <c r="F538" s="113"/>
    </row>
    <row r="539">
      <c r="E539" s="113"/>
      <c r="F539" s="113"/>
    </row>
    <row r="540">
      <c r="E540" s="113"/>
      <c r="F540" s="113"/>
    </row>
    <row r="541">
      <c r="E541" s="113"/>
      <c r="F541" s="113"/>
    </row>
    <row r="542">
      <c r="E542" s="113"/>
      <c r="F542" s="113"/>
    </row>
    <row r="543">
      <c r="E543" s="113"/>
      <c r="F543" s="113"/>
    </row>
    <row r="544">
      <c r="E544" s="113"/>
      <c r="F544" s="113"/>
    </row>
    <row r="545">
      <c r="E545" s="113"/>
      <c r="F545" s="113"/>
    </row>
    <row r="546">
      <c r="E546" s="113"/>
      <c r="F546" s="113"/>
    </row>
    <row r="547">
      <c r="E547" s="113"/>
      <c r="F547" s="113"/>
    </row>
    <row r="548">
      <c r="E548" s="113"/>
      <c r="F548" s="113"/>
    </row>
    <row r="549">
      <c r="E549" s="113"/>
      <c r="F549" s="113"/>
    </row>
    <row r="550">
      <c r="E550" s="113"/>
      <c r="F550" s="113"/>
    </row>
    <row r="551">
      <c r="E551" s="113"/>
      <c r="F551" s="113"/>
    </row>
    <row r="552">
      <c r="E552" s="113"/>
      <c r="F552" s="113"/>
    </row>
    <row r="553">
      <c r="E553" s="113"/>
      <c r="F553" s="113"/>
    </row>
    <row r="554">
      <c r="E554" s="113"/>
      <c r="F554" s="113"/>
    </row>
    <row r="555">
      <c r="E555" s="113"/>
      <c r="F555" s="113"/>
    </row>
    <row r="556">
      <c r="E556" s="113"/>
      <c r="F556" s="113"/>
    </row>
    <row r="557">
      <c r="E557" s="113"/>
      <c r="F557" s="113"/>
    </row>
    <row r="558">
      <c r="E558" s="113"/>
      <c r="F558" s="113"/>
    </row>
    <row r="559">
      <c r="E559" s="113"/>
      <c r="F559" s="113"/>
    </row>
    <row r="560">
      <c r="E560" s="113"/>
      <c r="F560" s="113"/>
    </row>
    <row r="561">
      <c r="E561" s="113"/>
      <c r="F561" s="113"/>
    </row>
    <row r="562">
      <c r="E562" s="113"/>
      <c r="F562" s="113"/>
    </row>
    <row r="563">
      <c r="E563" s="113"/>
      <c r="F563" s="113"/>
    </row>
    <row r="564">
      <c r="E564" s="113"/>
      <c r="F564" s="113"/>
    </row>
    <row r="565">
      <c r="E565" s="113"/>
      <c r="F565" s="113"/>
    </row>
    <row r="566">
      <c r="E566" s="113"/>
      <c r="F566" s="113"/>
    </row>
    <row r="567">
      <c r="E567" s="113"/>
      <c r="F567" s="113"/>
    </row>
    <row r="568">
      <c r="E568" s="113"/>
      <c r="F568" s="113"/>
    </row>
    <row r="569">
      <c r="E569" s="113"/>
      <c r="F569" s="113"/>
    </row>
    <row r="570">
      <c r="E570" s="113"/>
      <c r="F570" s="113"/>
    </row>
    <row r="571">
      <c r="E571" s="113"/>
      <c r="F571" s="113"/>
    </row>
    <row r="572">
      <c r="E572" s="113"/>
      <c r="F572" s="113"/>
    </row>
    <row r="573">
      <c r="E573" s="113"/>
      <c r="F573" s="113"/>
    </row>
    <row r="574">
      <c r="E574" s="113"/>
      <c r="F574" s="113"/>
    </row>
    <row r="575">
      <c r="E575" s="113"/>
      <c r="F575" s="113"/>
    </row>
    <row r="576">
      <c r="E576" s="113"/>
      <c r="F576" s="113"/>
    </row>
    <row r="577">
      <c r="E577" s="113"/>
      <c r="F577" s="113"/>
    </row>
    <row r="578">
      <c r="E578" s="113"/>
      <c r="F578" s="113"/>
    </row>
    <row r="579">
      <c r="E579" s="113"/>
      <c r="F579" s="113"/>
    </row>
    <row r="580">
      <c r="E580" s="113"/>
      <c r="F580" s="113"/>
    </row>
    <row r="581">
      <c r="E581" s="113"/>
      <c r="F581" s="113"/>
    </row>
    <row r="582">
      <c r="E582" s="113"/>
      <c r="F582" s="113"/>
    </row>
    <row r="583">
      <c r="E583" s="113"/>
      <c r="F583" s="113"/>
    </row>
    <row r="584">
      <c r="E584" s="113"/>
      <c r="F584" s="113"/>
    </row>
    <row r="585">
      <c r="E585" s="113"/>
      <c r="F585" s="113"/>
    </row>
    <row r="586">
      <c r="E586" s="113"/>
      <c r="F586" s="113"/>
    </row>
    <row r="587">
      <c r="E587" s="113"/>
      <c r="F587" s="113"/>
    </row>
    <row r="588">
      <c r="E588" s="113"/>
      <c r="F588" s="113"/>
    </row>
    <row r="589">
      <c r="E589" s="113"/>
      <c r="F589" s="113"/>
    </row>
    <row r="590">
      <c r="E590" s="113"/>
      <c r="F590" s="113"/>
    </row>
    <row r="591">
      <c r="E591" s="113"/>
      <c r="F591" s="113"/>
    </row>
    <row r="592">
      <c r="E592" s="113"/>
      <c r="F592" s="113"/>
    </row>
    <row r="593">
      <c r="E593" s="113"/>
      <c r="F593" s="113"/>
    </row>
    <row r="594">
      <c r="E594" s="113"/>
      <c r="F594" s="113"/>
    </row>
    <row r="595">
      <c r="E595" s="113"/>
      <c r="F595" s="113"/>
    </row>
    <row r="596">
      <c r="E596" s="113"/>
      <c r="F596" s="113"/>
    </row>
    <row r="597">
      <c r="E597" s="113"/>
      <c r="F597" s="113"/>
    </row>
    <row r="598">
      <c r="E598" s="113"/>
      <c r="F598" s="113"/>
    </row>
    <row r="599">
      <c r="E599" s="113"/>
      <c r="F599" s="113"/>
    </row>
    <row r="600">
      <c r="E600" s="113"/>
      <c r="F600" s="113"/>
    </row>
    <row r="601">
      <c r="E601" s="113"/>
      <c r="F601" s="113"/>
    </row>
    <row r="602">
      <c r="E602" s="113"/>
      <c r="F602" s="113"/>
    </row>
    <row r="603">
      <c r="E603" s="113"/>
      <c r="F603" s="113"/>
    </row>
    <row r="604">
      <c r="E604" s="113"/>
      <c r="F604" s="113"/>
    </row>
    <row r="605">
      <c r="E605" s="113"/>
      <c r="F605" s="113"/>
    </row>
    <row r="606">
      <c r="E606" s="113"/>
      <c r="F606" s="113"/>
    </row>
    <row r="607">
      <c r="E607" s="113"/>
      <c r="F607" s="113"/>
    </row>
    <row r="608">
      <c r="E608" s="113"/>
      <c r="F608" s="113"/>
    </row>
    <row r="609">
      <c r="E609" s="113"/>
      <c r="F609" s="113"/>
    </row>
    <row r="610">
      <c r="E610" s="113"/>
      <c r="F610" s="113"/>
    </row>
    <row r="611">
      <c r="E611" s="113"/>
      <c r="F611" s="113"/>
    </row>
    <row r="612">
      <c r="E612" s="113"/>
      <c r="F612" s="113"/>
    </row>
    <row r="613">
      <c r="E613" s="113"/>
      <c r="F613" s="113"/>
    </row>
    <row r="614">
      <c r="E614" s="113"/>
      <c r="F614" s="113"/>
    </row>
    <row r="615">
      <c r="E615" s="113"/>
      <c r="F615" s="113"/>
    </row>
    <row r="616">
      <c r="E616" s="113"/>
      <c r="F616" s="113"/>
    </row>
    <row r="617">
      <c r="E617" s="113"/>
      <c r="F617" s="113"/>
    </row>
    <row r="618">
      <c r="E618" s="113"/>
      <c r="F618" s="113"/>
    </row>
    <row r="619">
      <c r="E619" s="113"/>
      <c r="F619" s="113"/>
    </row>
    <row r="620">
      <c r="E620" s="113"/>
      <c r="F620" s="113"/>
    </row>
    <row r="621">
      <c r="E621" s="113"/>
      <c r="F621" s="113"/>
    </row>
    <row r="622">
      <c r="E622" s="113"/>
      <c r="F622" s="113"/>
    </row>
    <row r="623">
      <c r="E623" s="113"/>
      <c r="F623" s="113"/>
    </row>
    <row r="624">
      <c r="E624" s="113"/>
      <c r="F624" s="113"/>
    </row>
    <row r="625">
      <c r="E625" s="113"/>
      <c r="F625" s="113"/>
    </row>
    <row r="626">
      <c r="E626" s="113"/>
      <c r="F626" s="113"/>
    </row>
    <row r="627">
      <c r="E627" s="113"/>
      <c r="F627" s="113"/>
    </row>
    <row r="628">
      <c r="E628" s="113"/>
      <c r="F628" s="113"/>
    </row>
    <row r="629">
      <c r="E629" s="113"/>
      <c r="F629" s="113"/>
    </row>
    <row r="630">
      <c r="E630" s="113"/>
      <c r="F630" s="113"/>
    </row>
    <row r="631">
      <c r="E631" s="113"/>
      <c r="F631" s="113"/>
    </row>
    <row r="632">
      <c r="E632" s="113"/>
      <c r="F632" s="113"/>
    </row>
    <row r="633">
      <c r="E633" s="113"/>
      <c r="F633" s="113"/>
    </row>
    <row r="634">
      <c r="E634" s="113"/>
      <c r="F634" s="113"/>
    </row>
    <row r="635">
      <c r="E635" s="113"/>
      <c r="F635" s="113"/>
    </row>
    <row r="636">
      <c r="E636" s="113"/>
      <c r="F636" s="113"/>
    </row>
    <row r="637">
      <c r="E637" s="113"/>
      <c r="F637" s="113"/>
    </row>
    <row r="638">
      <c r="E638" s="113"/>
      <c r="F638" s="113"/>
    </row>
    <row r="639">
      <c r="E639" s="113"/>
      <c r="F639" s="113"/>
    </row>
    <row r="640">
      <c r="E640" s="113"/>
      <c r="F640" s="113"/>
    </row>
    <row r="641">
      <c r="E641" s="113"/>
      <c r="F641" s="113"/>
    </row>
    <row r="642">
      <c r="E642" s="113"/>
      <c r="F642" s="113"/>
    </row>
    <row r="643">
      <c r="E643" s="113"/>
      <c r="F643" s="113"/>
    </row>
    <row r="644">
      <c r="E644" s="113"/>
      <c r="F644" s="113"/>
    </row>
    <row r="645">
      <c r="E645" s="113"/>
      <c r="F645" s="113"/>
    </row>
    <row r="646">
      <c r="E646" s="113"/>
      <c r="F646" s="113"/>
    </row>
    <row r="647">
      <c r="E647" s="113"/>
      <c r="F647" s="113"/>
    </row>
    <row r="648">
      <c r="E648" s="113"/>
      <c r="F648" s="113"/>
    </row>
    <row r="649">
      <c r="E649" s="113"/>
      <c r="F649" s="113"/>
    </row>
    <row r="650">
      <c r="E650" s="113"/>
      <c r="F650" s="113"/>
    </row>
    <row r="651">
      <c r="E651" s="113"/>
      <c r="F651" s="113"/>
    </row>
    <row r="652">
      <c r="E652" s="113"/>
      <c r="F652" s="113"/>
    </row>
    <row r="653">
      <c r="E653" s="113"/>
      <c r="F653" s="113"/>
    </row>
    <row r="654">
      <c r="E654" s="113"/>
      <c r="F654" s="113"/>
    </row>
    <row r="655">
      <c r="E655" s="113"/>
      <c r="F655" s="113"/>
    </row>
    <row r="656">
      <c r="E656" s="113"/>
      <c r="F656" s="113"/>
    </row>
    <row r="657">
      <c r="E657" s="113"/>
      <c r="F657" s="113"/>
    </row>
    <row r="658">
      <c r="E658" s="113"/>
      <c r="F658" s="113"/>
    </row>
    <row r="659">
      <c r="E659" s="113"/>
      <c r="F659" s="113"/>
    </row>
    <row r="660">
      <c r="E660" s="113"/>
      <c r="F660" s="113"/>
    </row>
    <row r="661">
      <c r="E661" s="113"/>
      <c r="F661" s="113"/>
    </row>
    <row r="662">
      <c r="E662" s="113"/>
      <c r="F662" s="113"/>
    </row>
    <row r="663">
      <c r="E663" s="113"/>
      <c r="F663" s="113"/>
    </row>
    <row r="664">
      <c r="E664" s="113"/>
      <c r="F664" s="113"/>
    </row>
    <row r="665">
      <c r="E665" s="113"/>
      <c r="F665" s="113"/>
    </row>
    <row r="666">
      <c r="E666" s="113"/>
      <c r="F666" s="113"/>
    </row>
    <row r="667">
      <c r="E667" s="113"/>
      <c r="F667" s="113"/>
    </row>
    <row r="668">
      <c r="E668" s="113"/>
      <c r="F668" s="113"/>
    </row>
    <row r="669">
      <c r="E669" s="113"/>
      <c r="F669" s="113"/>
    </row>
    <row r="670">
      <c r="E670" s="113"/>
      <c r="F670" s="113"/>
    </row>
    <row r="671">
      <c r="E671" s="113"/>
      <c r="F671" s="113"/>
    </row>
    <row r="672">
      <c r="E672" s="113"/>
      <c r="F672" s="113"/>
    </row>
    <row r="673">
      <c r="E673" s="113"/>
      <c r="F673" s="113"/>
    </row>
    <row r="674">
      <c r="E674" s="113"/>
      <c r="F674" s="113"/>
    </row>
    <row r="675">
      <c r="E675" s="113"/>
      <c r="F675" s="113"/>
    </row>
    <row r="676">
      <c r="E676" s="113"/>
      <c r="F676" s="113"/>
    </row>
    <row r="677">
      <c r="E677" s="113"/>
      <c r="F677" s="113"/>
    </row>
    <row r="678">
      <c r="E678" s="113"/>
      <c r="F678" s="113"/>
    </row>
    <row r="679">
      <c r="E679" s="113"/>
      <c r="F679" s="113"/>
    </row>
    <row r="680">
      <c r="E680" s="113"/>
      <c r="F680" s="113"/>
    </row>
    <row r="681">
      <c r="E681" s="113"/>
      <c r="F681" s="113"/>
    </row>
    <row r="682">
      <c r="E682" s="113"/>
      <c r="F682" s="113"/>
    </row>
    <row r="683">
      <c r="E683" s="113"/>
      <c r="F683" s="113"/>
    </row>
    <row r="684">
      <c r="E684" s="113"/>
      <c r="F684" s="113"/>
    </row>
    <row r="685">
      <c r="E685" s="113"/>
      <c r="F685" s="113"/>
    </row>
    <row r="686">
      <c r="E686" s="113"/>
      <c r="F686" s="113"/>
    </row>
    <row r="687">
      <c r="E687" s="113"/>
      <c r="F687" s="113"/>
    </row>
    <row r="688">
      <c r="E688" s="113"/>
      <c r="F688" s="113"/>
    </row>
    <row r="689">
      <c r="E689" s="113"/>
      <c r="F689" s="113"/>
    </row>
    <row r="690">
      <c r="E690" s="113"/>
      <c r="F690" s="113"/>
    </row>
    <row r="691">
      <c r="E691" s="113"/>
      <c r="F691" s="113"/>
    </row>
    <row r="692">
      <c r="E692" s="113"/>
      <c r="F692" s="113"/>
    </row>
    <row r="693">
      <c r="E693" s="113"/>
      <c r="F693" s="113"/>
    </row>
    <row r="694">
      <c r="E694" s="113"/>
      <c r="F694" s="113"/>
    </row>
    <row r="695">
      <c r="E695" s="113"/>
      <c r="F695" s="113"/>
    </row>
    <row r="696">
      <c r="E696" s="113"/>
      <c r="F696" s="113"/>
    </row>
    <row r="697">
      <c r="E697" s="113"/>
      <c r="F697" s="113"/>
    </row>
    <row r="698">
      <c r="E698" s="113"/>
      <c r="F698" s="113"/>
    </row>
    <row r="699">
      <c r="E699" s="113"/>
      <c r="F699" s="113"/>
    </row>
    <row r="700">
      <c r="E700" s="113"/>
      <c r="F700" s="113"/>
    </row>
    <row r="701">
      <c r="E701" s="113"/>
      <c r="F701" s="113"/>
    </row>
    <row r="702">
      <c r="E702" s="113"/>
      <c r="F702" s="113"/>
    </row>
    <row r="703">
      <c r="E703" s="113"/>
      <c r="F703" s="113"/>
    </row>
    <row r="704">
      <c r="E704" s="113"/>
      <c r="F704" s="113"/>
    </row>
    <row r="705">
      <c r="E705" s="113"/>
      <c r="F705" s="113"/>
    </row>
    <row r="706">
      <c r="E706" s="113"/>
      <c r="F706" s="113"/>
    </row>
    <row r="707">
      <c r="E707" s="113"/>
      <c r="F707" s="113"/>
    </row>
    <row r="708">
      <c r="E708" s="113"/>
      <c r="F708" s="113"/>
    </row>
    <row r="709">
      <c r="E709" s="113"/>
      <c r="F709" s="113"/>
    </row>
    <row r="710">
      <c r="E710" s="113"/>
      <c r="F710" s="113"/>
    </row>
    <row r="711">
      <c r="E711" s="113"/>
      <c r="F711" s="113"/>
    </row>
    <row r="712">
      <c r="E712" s="113"/>
      <c r="F712" s="113"/>
    </row>
    <row r="713">
      <c r="E713" s="113"/>
      <c r="F713" s="113"/>
    </row>
    <row r="714">
      <c r="E714" s="113"/>
      <c r="F714" s="113"/>
    </row>
    <row r="715">
      <c r="E715" s="113"/>
      <c r="F715" s="113"/>
    </row>
    <row r="716">
      <c r="E716" s="113"/>
      <c r="F716" s="113"/>
    </row>
    <row r="717">
      <c r="E717" s="113"/>
      <c r="F717" s="113"/>
    </row>
    <row r="718">
      <c r="E718" s="113"/>
      <c r="F718" s="113"/>
    </row>
    <row r="719">
      <c r="E719" s="113"/>
      <c r="F719" s="113"/>
    </row>
    <row r="720">
      <c r="E720" s="113"/>
      <c r="F720" s="113"/>
    </row>
    <row r="721">
      <c r="E721" s="113"/>
      <c r="F721" s="113"/>
    </row>
    <row r="722">
      <c r="E722" s="113"/>
      <c r="F722" s="113"/>
    </row>
    <row r="723">
      <c r="E723" s="113"/>
      <c r="F723" s="113"/>
    </row>
    <row r="724">
      <c r="E724" s="113"/>
      <c r="F724" s="113"/>
    </row>
    <row r="725">
      <c r="E725" s="113"/>
      <c r="F725" s="113"/>
    </row>
    <row r="726">
      <c r="E726" s="113"/>
      <c r="F726" s="113"/>
    </row>
    <row r="727">
      <c r="E727" s="113"/>
      <c r="F727" s="113"/>
    </row>
    <row r="728">
      <c r="E728" s="113"/>
      <c r="F728" s="113"/>
    </row>
    <row r="729">
      <c r="E729" s="113"/>
      <c r="F729" s="113"/>
    </row>
    <row r="730">
      <c r="E730" s="113"/>
      <c r="F730" s="113"/>
    </row>
    <row r="731">
      <c r="E731" s="113"/>
      <c r="F731" s="113"/>
    </row>
    <row r="732">
      <c r="E732" s="113"/>
      <c r="F732" s="113"/>
    </row>
    <row r="733">
      <c r="E733" s="113"/>
      <c r="F733" s="113"/>
    </row>
    <row r="734">
      <c r="E734" s="113"/>
      <c r="F734" s="113"/>
    </row>
    <row r="735">
      <c r="E735" s="113"/>
      <c r="F735" s="113"/>
    </row>
    <row r="736">
      <c r="E736" s="113"/>
      <c r="F736" s="113"/>
    </row>
    <row r="737">
      <c r="E737" s="113"/>
      <c r="F737" s="113"/>
    </row>
    <row r="738">
      <c r="E738" s="113"/>
      <c r="F738" s="113"/>
    </row>
    <row r="739">
      <c r="E739" s="113"/>
      <c r="F739" s="113"/>
    </row>
    <row r="740">
      <c r="E740" s="113"/>
      <c r="F740" s="113"/>
    </row>
    <row r="741">
      <c r="E741" s="113"/>
      <c r="F741" s="113"/>
    </row>
    <row r="742">
      <c r="E742" s="113"/>
      <c r="F742" s="113"/>
    </row>
    <row r="743">
      <c r="E743" s="113"/>
      <c r="F743" s="113"/>
    </row>
    <row r="744">
      <c r="E744" s="113"/>
      <c r="F744" s="113"/>
    </row>
    <row r="745">
      <c r="E745" s="113"/>
      <c r="F745" s="113"/>
    </row>
    <row r="746">
      <c r="E746" s="113"/>
      <c r="F746" s="113"/>
    </row>
    <row r="747">
      <c r="E747" s="113"/>
      <c r="F747" s="113"/>
    </row>
    <row r="748">
      <c r="E748" s="113"/>
      <c r="F748" s="113"/>
    </row>
    <row r="749">
      <c r="E749" s="113"/>
      <c r="F749" s="113"/>
    </row>
    <row r="750">
      <c r="E750" s="113"/>
      <c r="F750" s="113"/>
    </row>
    <row r="751">
      <c r="E751" s="113"/>
      <c r="F751" s="113"/>
    </row>
    <row r="752">
      <c r="E752" s="113"/>
      <c r="F752" s="113"/>
    </row>
    <row r="753">
      <c r="E753" s="113"/>
      <c r="F753" s="113"/>
    </row>
    <row r="754">
      <c r="E754" s="113"/>
      <c r="F754" s="113"/>
    </row>
    <row r="755">
      <c r="E755" s="113"/>
      <c r="F755" s="113"/>
    </row>
    <row r="756">
      <c r="E756" s="113"/>
      <c r="F756" s="113"/>
    </row>
    <row r="757">
      <c r="E757" s="113"/>
      <c r="F757" s="113"/>
    </row>
    <row r="758">
      <c r="E758" s="113"/>
      <c r="F758" s="113"/>
    </row>
    <row r="759">
      <c r="E759" s="113"/>
      <c r="F759" s="113"/>
    </row>
    <row r="760">
      <c r="E760" s="113"/>
      <c r="F760" s="113"/>
    </row>
    <row r="761">
      <c r="E761" s="113"/>
      <c r="F761" s="113"/>
    </row>
    <row r="762">
      <c r="E762" s="113"/>
      <c r="F762" s="113"/>
    </row>
    <row r="763">
      <c r="E763" s="113"/>
      <c r="F763" s="113"/>
    </row>
    <row r="764">
      <c r="E764" s="113"/>
      <c r="F764" s="113"/>
    </row>
    <row r="765">
      <c r="E765" s="113"/>
      <c r="F765" s="113"/>
    </row>
    <row r="766">
      <c r="E766" s="113"/>
      <c r="F766" s="113"/>
    </row>
    <row r="767">
      <c r="E767" s="113"/>
      <c r="F767" s="113"/>
    </row>
    <row r="768">
      <c r="E768" s="113"/>
      <c r="F768" s="113"/>
    </row>
    <row r="769">
      <c r="E769" s="113"/>
      <c r="F769" s="113"/>
    </row>
    <row r="770">
      <c r="E770" s="113"/>
      <c r="F770" s="113"/>
    </row>
    <row r="771">
      <c r="E771" s="113"/>
      <c r="F771" s="113"/>
    </row>
    <row r="772">
      <c r="E772" s="113"/>
      <c r="F772" s="113"/>
    </row>
    <row r="773">
      <c r="E773" s="113"/>
      <c r="F773" s="113"/>
    </row>
    <row r="774">
      <c r="E774" s="113"/>
      <c r="F774" s="113"/>
    </row>
    <row r="775">
      <c r="E775" s="113"/>
      <c r="F775" s="113"/>
    </row>
    <row r="776">
      <c r="E776" s="113"/>
      <c r="F776" s="113"/>
    </row>
    <row r="777">
      <c r="E777" s="113"/>
      <c r="F777" s="113"/>
    </row>
    <row r="778">
      <c r="E778" s="113"/>
      <c r="F778" s="113"/>
    </row>
    <row r="779">
      <c r="E779" s="113"/>
      <c r="F779" s="113"/>
    </row>
    <row r="780">
      <c r="E780" s="113"/>
      <c r="F780" s="113"/>
    </row>
    <row r="781">
      <c r="E781" s="113"/>
      <c r="F781" s="113"/>
    </row>
    <row r="782">
      <c r="E782" s="113"/>
      <c r="F782" s="113"/>
    </row>
    <row r="783">
      <c r="E783" s="113"/>
      <c r="F783" s="113"/>
    </row>
    <row r="784">
      <c r="E784" s="113"/>
      <c r="F784" s="113"/>
    </row>
    <row r="785">
      <c r="E785" s="113"/>
      <c r="F785" s="113"/>
    </row>
    <row r="786">
      <c r="E786" s="113"/>
      <c r="F786" s="113"/>
    </row>
    <row r="787">
      <c r="E787" s="113"/>
      <c r="F787" s="113"/>
    </row>
    <row r="788">
      <c r="E788" s="113"/>
      <c r="F788" s="113"/>
    </row>
    <row r="789">
      <c r="E789" s="113"/>
      <c r="F789" s="113"/>
    </row>
    <row r="790">
      <c r="E790" s="113"/>
      <c r="F790" s="113"/>
    </row>
    <row r="791">
      <c r="E791" s="113"/>
      <c r="F791" s="113"/>
    </row>
    <row r="792">
      <c r="E792" s="113"/>
      <c r="F792" s="113"/>
    </row>
    <row r="793">
      <c r="E793" s="113"/>
      <c r="F793" s="113"/>
    </row>
    <row r="794">
      <c r="E794" s="113"/>
      <c r="F794" s="113"/>
    </row>
    <row r="795">
      <c r="E795" s="113"/>
      <c r="F795" s="113"/>
    </row>
    <row r="796">
      <c r="E796" s="113"/>
      <c r="F796" s="113"/>
    </row>
    <row r="797">
      <c r="E797" s="113"/>
      <c r="F797" s="113"/>
    </row>
    <row r="798">
      <c r="E798" s="113"/>
      <c r="F798" s="113"/>
    </row>
    <row r="799">
      <c r="E799" s="113"/>
      <c r="F799" s="113"/>
    </row>
    <row r="800">
      <c r="E800" s="113"/>
      <c r="F800" s="113"/>
    </row>
    <row r="801">
      <c r="E801" s="113"/>
      <c r="F801" s="113"/>
    </row>
    <row r="802">
      <c r="E802" s="113"/>
      <c r="F802" s="113"/>
    </row>
    <row r="803">
      <c r="E803" s="113"/>
      <c r="F803" s="113"/>
    </row>
    <row r="804">
      <c r="E804" s="113"/>
      <c r="F804" s="113"/>
    </row>
    <row r="805">
      <c r="E805" s="113"/>
      <c r="F805" s="113"/>
    </row>
    <row r="806">
      <c r="E806" s="113"/>
      <c r="F806" s="113"/>
    </row>
    <row r="807">
      <c r="E807" s="113"/>
      <c r="F807" s="113"/>
    </row>
    <row r="808">
      <c r="E808" s="113"/>
      <c r="F808" s="113"/>
    </row>
    <row r="809">
      <c r="E809" s="113"/>
      <c r="F809" s="113"/>
    </row>
    <row r="810">
      <c r="E810" s="113"/>
      <c r="F810" s="113"/>
    </row>
    <row r="811">
      <c r="E811" s="113"/>
      <c r="F811" s="113"/>
    </row>
    <row r="812">
      <c r="E812" s="113"/>
      <c r="F812" s="113"/>
    </row>
    <row r="813">
      <c r="E813" s="113"/>
      <c r="F813" s="113"/>
    </row>
    <row r="814">
      <c r="E814" s="113"/>
      <c r="F814" s="113"/>
    </row>
    <row r="815">
      <c r="E815" s="113"/>
      <c r="F815" s="113"/>
    </row>
    <row r="816">
      <c r="E816" s="113"/>
      <c r="F816" s="113"/>
    </row>
    <row r="817">
      <c r="E817" s="113"/>
      <c r="F817" s="113"/>
    </row>
    <row r="818">
      <c r="E818" s="113"/>
      <c r="F818" s="113"/>
    </row>
    <row r="819">
      <c r="E819" s="113"/>
      <c r="F819" s="113"/>
    </row>
    <row r="820">
      <c r="E820" s="113"/>
      <c r="F820" s="113"/>
    </row>
    <row r="821">
      <c r="E821" s="113"/>
      <c r="F821" s="113"/>
    </row>
    <row r="822">
      <c r="E822" s="113"/>
      <c r="F822" s="113"/>
    </row>
    <row r="823">
      <c r="E823" s="113"/>
      <c r="F823" s="113"/>
    </row>
    <row r="824">
      <c r="E824" s="113"/>
      <c r="F824" s="113"/>
    </row>
    <row r="825">
      <c r="E825" s="113"/>
      <c r="F825" s="113"/>
    </row>
    <row r="826">
      <c r="E826" s="113"/>
      <c r="F826" s="113"/>
    </row>
    <row r="827">
      <c r="E827" s="113"/>
      <c r="F827" s="113"/>
    </row>
    <row r="828">
      <c r="E828" s="113"/>
      <c r="F828" s="113"/>
    </row>
    <row r="829">
      <c r="E829" s="113"/>
      <c r="F829" s="113"/>
    </row>
    <row r="830">
      <c r="E830" s="113"/>
      <c r="F830" s="113"/>
    </row>
    <row r="831">
      <c r="E831" s="113"/>
      <c r="F831" s="113"/>
    </row>
    <row r="832">
      <c r="E832" s="113"/>
      <c r="F832" s="113"/>
    </row>
    <row r="833">
      <c r="E833" s="113"/>
      <c r="F833" s="113"/>
    </row>
    <row r="834">
      <c r="E834" s="113"/>
      <c r="F834" s="113"/>
    </row>
    <row r="835">
      <c r="E835" s="113"/>
      <c r="F835" s="113"/>
    </row>
    <row r="836">
      <c r="E836" s="113"/>
      <c r="F836" s="113"/>
    </row>
    <row r="837">
      <c r="E837" s="113"/>
      <c r="F837" s="113"/>
    </row>
    <row r="838">
      <c r="E838" s="113"/>
      <c r="F838" s="113"/>
    </row>
    <row r="839">
      <c r="E839" s="113"/>
      <c r="F839" s="113"/>
    </row>
    <row r="840">
      <c r="E840" s="113"/>
      <c r="F840" s="113"/>
    </row>
    <row r="841">
      <c r="E841" s="113"/>
      <c r="F841" s="113"/>
    </row>
    <row r="842">
      <c r="E842" s="113"/>
      <c r="F842" s="113"/>
    </row>
    <row r="843">
      <c r="E843" s="113"/>
      <c r="F843" s="113"/>
    </row>
    <row r="844">
      <c r="E844" s="113"/>
      <c r="F844" s="113"/>
    </row>
    <row r="845">
      <c r="E845" s="113"/>
      <c r="F845" s="113"/>
    </row>
    <row r="846">
      <c r="E846" s="113"/>
      <c r="F846" s="113"/>
    </row>
    <row r="847">
      <c r="E847" s="113"/>
      <c r="F847" s="113"/>
    </row>
    <row r="848">
      <c r="E848" s="113"/>
      <c r="F848" s="113"/>
    </row>
    <row r="849">
      <c r="E849" s="113"/>
      <c r="F849" s="113"/>
    </row>
    <row r="850">
      <c r="E850" s="113"/>
      <c r="F850" s="113"/>
    </row>
    <row r="851">
      <c r="E851" s="113"/>
      <c r="F851" s="113"/>
    </row>
    <row r="852">
      <c r="E852" s="113"/>
      <c r="F852" s="113"/>
    </row>
    <row r="853">
      <c r="E853" s="113"/>
      <c r="F853" s="113"/>
    </row>
    <row r="854">
      <c r="E854" s="113"/>
      <c r="F854" s="113"/>
    </row>
    <row r="855">
      <c r="E855" s="113"/>
      <c r="F855" s="113"/>
    </row>
    <row r="856">
      <c r="E856" s="113"/>
      <c r="F856" s="113"/>
    </row>
    <row r="857">
      <c r="E857" s="113"/>
      <c r="F857" s="113"/>
    </row>
    <row r="858">
      <c r="E858" s="113"/>
      <c r="F858" s="113"/>
    </row>
    <row r="859">
      <c r="E859" s="113"/>
      <c r="F859" s="113"/>
    </row>
    <row r="860">
      <c r="E860" s="113"/>
      <c r="F860" s="113"/>
    </row>
    <row r="861">
      <c r="E861" s="113"/>
      <c r="F861" s="113"/>
    </row>
    <row r="862">
      <c r="E862" s="113"/>
      <c r="F862" s="113"/>
    </row>
    <row r="863">
      <c r="E863" s="113"/>
      <c r="F863" s="113"/>
    </row>
    <row r="864">
      <c r="E864" s="113"/>
      <c r="F864" s="113"/>
    </row>
    <row r="865">
      <c r="E865" s="113"/>
      <c r="F865" s="113"/>
    </row>
    <row r="866">
      <c r="E866" s="113"/>
      <c r="F866" s="113"/>
    </row>
    <row r="867">
      <c r="E867" s="113"/>
      <c r="F867" s="113"/>
    </row>
    <row r="868">
      <c r="E868" s="113"/>
      <c r="F868" s="113"/>
    </row>
    <row r="869">
      <c r="E869" s="113"/>
      <c r="F869" s="113"/>
    </row>
    <row r="870">
      <c r="E870" s="113"/>
      <c r="F870" s="113"/>
    </row>
    <row r="871">
      <c r="E871" s="113"/>
      <c r="F871" s="113"/>
    </row>
    <row r="872">
      <c r="E872" s="113"/>
      <c r="F872" s="113"/>
    </row>
    <row r="873">
      <c r="E873" s="113"/>
      <c r="F873" s="113"/>
    </row>
    <row r="874">
      <c r="E874" s="113"/>
      <c r="F874" s="113"/>
    </row>
    <row r="875">
      <c r="E875" s="113"/>
      <c r="F875" s="113"/>
    </row>
    <row r="876">
      <c r="E876" s="113"/>
      <c r="F876" s="113"/>
    </row>
    <row r="877">
      <c r="E877" s="113"/>
      <c r="F877" s="113"/>
    </row>
    <row r="878">
      <c r="E878" s="113"/>
      <c r="F878" s="113"/>
    </row>
    <row r="879">
      <c r="E879" s="113"/>
      <c r="F879" s="113"/>
    </row>
    <row r="880">
      <c r="E880" s="113"/>
      <c r="F880" s="113"/>
    </row>
    <row r="881">
      <c r="E881" s="113"/>
      <c r="F881" s="113"/>
    </row>
    <row r="882">
      <c r="E882" s="113"/>
      <c r="F882" s="113"/>
    </row>
    <row r="883">
      <c r="E883" s="113"/>
      <c r="F883" s="113"/>
    </row>
    <row r="884">
      <c r="E884" s="113"/>
      <c r="F884" s="113"/>
    </row>
    <row r="885">
      <c r="E885" s="113"/>
      <c r="F885" s="113"/>
    </row>
    <row r="886">
      <c r="E886" s="113"/>
      <c r="F886" s="113"/>
    </row>
    <row r="887">
      <c r="E887" s="113"/>
      <c r="F887" s="113"/>
    </row>
    <row r="888">
      <c r="E888" s="113"/>
      <c r="F888" s="113"/>
    </row>
    <row r="889">
      <c r="E889" s="113"/>
      <c r="F889" s="113"/>
    </row>
    <row r="890">
      <c r="E890" s="113"/>
      <c r="F890" s="113"/>
    </row>
    <row r="891">
      <c r="E891" s="113"/>
      <c r="F891" s="113"/>
    </row>
    <row r="892">
      <c r="E892" s="113"/>
      <c r="F892" s="113"/>
    </row>
    <row r="893">
      <c r="E893" s="113"/>
      <c r="F893" s="113"/>
    </row>
    <row r="894">
      <c r="E894" s="113"/>
      <c r="F894" s="113"/>
    </row>
    <row r="895">
      <c r="E895" s="113"/>
      <c r="F895" s="113"/>
    </row>
    <row r="896">
      <c r="E896" s="113"/>
      <c r="F896" s="113"/>
    </row>
    <row r="897">
      <c r="E897" s="113"/>
      <c r="F897" s="113"/>
    </row>
    <row r="898">
      <c r="E898" s="113"/>
      <c r="F898" s="113"/>
    </row>
    <row r="899">
      <c r="E899" s="113"/>
      <c r="F899" s="113"/>
    </row>
    <row r="900">
      <c r="E900" s="113"/>
      <c r="F900" s="113"/>
    </row>
    <row r="901">
      <c r="E901" s="113"/>
      <c r="F901" s="113"/>
    </row>
    <row r="902">
      <c r="E902" s="113"/>
      <c r="F902" s="113"/>
    </row>
    <row r="903">
      <c r="E903" s="113"/>
      <c r="F903" s="113"/>
    </row>
    <row r="904">
      <c r="E904" s="113"/>
      <c r="F904" s="113"/>
    </row>
    <row r="905">
      <c r="E905" s="113"/>
      <c r="F905" s="113"/>
    </row>
    <row r="906">
      <c r="E906" s="113"/>
      <c r="F906" s="113"/>
    </row>
    <row r="907">
      <c r="E907" s="113"/>
      <c r="F907" s="113"/>
    </row>
    <row r="908">
      <c r="E908" s="113"/>
      <c r="F908" s="113"/>
    </row>
    <row r="909">
      <c r="E909" s="113"/>
      <c r="F909" s="113"/>
    </row>
    <row r="910">
      <c r="E910" s="113"/>
      <c r="F910" s="113"/>
    </row>
    <row r="911">
      <c r="E911" s="113"/>
      <c r="F911" s="113"/>
    </row>
    <row r="912">
      <c r="E912" s="113"/>
      <c r="F912" s="113"/>
    </row>
    <row r="913">
      <c r="E913" s="113"/>
      <c r="F913" s="113"/>
    </row>
    <row r="914">
      <c r="E914" s="113"/>
      <c r="F914" s="113"/>
    </row>
    <row r="915">
      <c r="E915" s="113"/>
      <c r="F915" s="113"/>
    </row>
    <row r="916">
      <c r="E916" s="113"/>
      <c r="F916" s="113"/>
    </row>
    <row r="917">
      <c r="E917" s="113"/>
      <c r="F917" s="113"/>
    </row>
    <row r="918">
      <c r="E918" s="113"/>
      <c r="F918" s="113"/>
    </row>
    <row r="919">
      <c r="E919" s="113"/>
      <c r="F919" s="113"/>
    </row>
    <row r="920">
      <c r="E920" s="113"/>
      <c r="F920" s="113"/>
    </row>
    <row r="921">
      <c r="E921" s="113"/>
      <c r="F921" s="113"/>
    </row>
    <row r="922">
      <c r="E922" s="113"/>
      <c r="F922" s="113"/>
    </row>
    <row r="923">
      <c r="E923" s="113"/>
      <c r="F923" s="113"/>
    </row>
    <row r="924">
      <c r="E924" s="113"/>
      <c r="F924" s="113"/>
    </row>
    <row r="925">
      <c r="E925" s="113"/>
      <c r="F925" s="113"/>
    </row>
    <row r="926">
      <c r="E926" s="113"/>
      <c r="F926" s="113"/>
    </row>
    <row r="927">
      <c r="E927" s="113"/>
      <c r="F927" s="113"/>
    </row>
    <row r="928">
      <c r="E928" s="113"/>
      <c r="F928" s="113"/>
    </row>
    <row r="929">
      <c r="E929" s="113"/>
      <c r="F929" s="113"/>
    </row>
    <row r="930">
      <c r="E930" s="113"/>
      <c r="F930" s="113"/>
    </row>
    <row r="931">
      <c r="E931" s="113"/>
      <c r="F931" s="113"/>
    </row>
    <row r="932">
      <c r="E932" s="113"/>
      <c r="F932" s="113"/>
    </row>
    <row r="933">
      <c r="E933" s="113"/>
      <c r="F933" s="113"/>
    </row>
    <row r="934">
      <c r="E934" s="113"/>
      <c r="F934" s="113"/>
    </row>
    <row r="935">
      <c r="E935" s="113"/>
      <c r="F935" s="113"/>
    </row>
    <row r="936">
      <c r="E936" s="113"/>
      <c r="F936" s="113"/>
    </row>
    <row r="937">
      <c r="E937" s="113"/>
      <c r="F937" s="113"/>
    </row>
    <row r="938">
      <c r="E938" s="113"/>
      <c r="F938" s="113"/>
    </row>
    <row r="939">
      <c r="E939" s="113"/>
      <c r="F939" s="113"/>
    </row>
    <row r="940">
      <c r="E940" s="113"/>
      <c r="F940" s="113"/>
    </row>
    <row r="941">
      <c r="E941" s="113"/>
      <c r="F941" s="113"/>
    </row>
    <row r="942">
      <c r="E942" s="113"/>
      <c r="F942" s="113"/>
    </row>
    <row r="943">
      <c r="E943" s="113"/>
      <c r="F943" s="113"/>
    </row>
    <row r="944">
      <c r="E944" s="113"/>
      <c r="F944" s="113"/>
    </row>
    <row r="945">
      <c r="E945" s="113"/>
      <c r="F945" s="113"/>
    </row>
    <row r="946">
      <c r="E946" s="113"/>
      <c r="F946" s="113"/>
    </row>
    <row r="947">
      <c r="E947" s="113"/>
      <c r="F947" s="113"/>
    </row>
    <row r="948">
      <c r="E948" s="113"/>
      <c r="F948" s="113"/>
    </row>
    <row r="949">
      <c r="E949" s="113"/>
      <c r="F949" s="113"/>
    </row>
    <row r="950">
      <c r="E950" s="113"/>
      <c r="F950" s="113"/>
    </row>
    <row r="951">
      <c r="E951" s="113"/>
      <c r="F951" s="113"/>
    </row>
    <row r="952">
      <c r="E952" s="113"/>
      <c r="F952" s="113"/>
    </row>
    <row r="953">
      <c r="E953" s="113"/>
      <c r="F953" s="113"/>
    </row>
    <row r="954">
      <c r="E954" s="113"/>
      <c r="F954" s="113"/>
    </row>
    <row r="955">
      <c r="E955" s="113"/>
      <c r="F955" s="113"/>
    </row>
    <row r="956">
      <c r="E956" s="113"/>
      <c r="F956" s="113"/>
    </row>
    <row r="957">
      <c r="E957" s="113"/>
      <c r="F957" s="113"/>
    </row>
    <row r="958">
      <c r="E958" s="113"/>
      <c r="F958" s="113"/>
    </row>
    <row r="959">
      <c r="E959" s="113"/>
      <c r="F959" s="113"/>
    </row>
    <row r="960">
      <c r="E960" s="113"/>
      <c r="F960" s="113"/>
    </row>
    <row r="961">
      <c r="E961" s="113"/>
      <c r="F961" s="113"/>
    </row>
    <row r="962">
      <c r="E962" s="113"/>
      <c r="F962" s="113"/>
    </row>
    <row r="963">
      <c r="E963" s="113"/>
      <c r="F963" s="113"/>
    </row>
    <row r="964">
      <c r="E964" s="113"/>
      <c r="F964" s="113"/>
    </row>
    <row r="965">
      <c r="E965" s="113"/>
      <c r="F965" s="113"/>
    </row>
    <row r="966">
      <c r="E966" s="113"/>
      <c r="F966" s="113"/>
    </row>
    <row r="967">
      <c r="E967" s="113"/>
      <c r="F967" s="113"/>
    </row>
    <row r="968">
      <c r="E968" s="113"/>
      <c r="F968" s="113"/>
    </row>
    <row r="969">
      <c r="E969" s="113"/>
      <c r="F969" s="113"/>
    </row>
    <row r="970">
      <c r="E970" s="113"/>
      <c r="F970" s="113"/>
    </row>
    <row r="971">
      <c r="E971" s="113"/>
      <c r="F971" s="113"/>
    </row>
    <row r="972">
      <c r="E972" s="113"/>
      <c r="F972" s="113"/>
    </row>
    <row r="973">
      <c r="E973" s="113"/>
      <c r="F973" s="113"/>
    </row>
    <row r="974">
      <c r="E974" s="113"/>
      <c r="F974" s="113"/>
    </row>
    <row r="975">
      <c r="E975" s="113"/>
      <c r="F975" s="113"/>
    </row>
    <row r="976">
      <c r="E976" s="113"/>
      <c r="F976" s="113"/>
    </row>
    <row r="977">
      <c r="E977" s="113"/>
      <c r="F977" s="113"/>
    </row>
    <row r="978">
      <c r="E978" s="113"/>
      <c r="F978" s="113"/>
    </row>
    <row r="979">
      <c r="E979" s="113"/>
      <c r="F979" s="113"/>
    </row>
    <row r="980">
      <c r="E980" s="113"/>
      <c r="F980" s="113"/>
    </row>
    <row r="981">
      <c r="E981" s="113"/>
      <c r="F981" s="113"/>
    </row>
    <row r="982">
      <c r="E982" s="113"/>
      <c r="F982" s="113"/>
    </row>
    <row r="983">
      <c r="E983" s="113"/>
      <c r="F983" s="113"/>
    </row>
    <row r="984">
      <c r="E984" s="113"/>
      <c r="F984" s="113"/>
    </row>
    <row r="985">
      <c r="E985" s="113"/>
      <c r="F985" s="113"/>
    </row>
    <row r="986">
      <c r="E986" s="113"/>
      <c r="F986" s="113"/>
    </row>
    <row r="987">
      <c r="E987" s="113"/>
      <c r="F987" s="113"/>
    </row>
    <row r="988">
      <c r="E988" s="113"/>
      <c r="F988" s="113"/>
    </row>
    <row r="989">
      <c r="E989" s="113"/>
      <c r="F989" s="113"/>
    </row>
    <row r="990">
      <c r="E990" s="113"/>
      <c r="F990" s="113"/>
    </row>
    <row r="991">
      <c r="E991" s="113"/>
      <c r="F991" s="113"/>
    </row>
    <row r="992">
      <c r="E992" s="113"/>
      <c r="F992" s="113"/>
    </row>
    <row r="993">
      <c r="E993" s="113"/>
      <c r="F993" s="113"/>
    </row>
    <row r="994">
      <c r="E994" s="113"/>
      <c r="F994" s="113"/>
    </row>
    <row r="995">
      <c r="E995" s="113"/>
      <c r="F995" s="113"/>
    </row>
    <row r="996">
      <c r="E996" s="113"/>
      <c r="F996" s="113"/>
    </row>
    <row r="997">
      <c r="E997" s="113"/>
      <c r="F997" s="113"/>
    </row>
    <row r="998">
      <c r="E998" s="113"/>
      <c r="F998" s="113"/>
    </row>
    <row r="999">
      <c r="E999" s="113"/>
      <c r="F999" s="113"/>
    </row>
    <row r="1000">
      <c r="E1000" s="113"/>
      <c r="F1000" s="1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7.0"/>
    <col customWidth="1" min="4" max="4" width="16.0"/>
    <col customWidth="1" min="5" max="6" width="15.0"/>
    <col customWidth="1" min="7" max="7" width="31.0"/>
    <col customWidth="1" min="8" max="8" width="23.38"/>
    <col customWidth="1" min="9" max="9" width="15.63"/>
    <col customWidth="1" min="10" max="10" width="17.5"/>
    <col customWidth="1" min="11" max="11" width="15.63"/>
    <col customWidth="1" min="12" max="12" width="20.0"/>
    <col customWidth="1" min="13" max="13" width="25.5"/>
    <col customWidth="1" min="14" max="15" width="15.63"/>
  </cols>
  <sheetData>
    <row r="1" ht="22.5" customHeight="1">
      <c r="A1" s="114" t="s">
        <v>537</v>
      </c>
      <c r="B1" s="115" t="s">
        <v>538</v>
      </c>
      <c r="C1" s="115" t="s">
        <v>539</v>
      </c>
      <c r="D1" s="115" t="s">
        <v>479</v>
      </c>
      <c r="E1" s="115" t="s">
        <v>540</v>
      </c>
      <c r="F1" s="115" t="s">
        <v>541</v>
      </c>
      <c r="G1" s="115" t="s">
        <v>476</v>
      </c>
      <c r="H1" s="116" t="s">
        <v>10</v>
      </c>
      <c r="I1" s="116" t="s">
        <v>542</v>
      </c>
      <c r="J1" s="116" t="s">
        <v>543</v>
      </c>
      <c r="K1" s="117" t="s">
        <v>544</v>
      </c>
      <c r="L1" s="117" t="s">
        <v>545</v>
      </c>
      <c r="M1" s="116" t="s">
        <v>546</v>
      </c>
      <c r="N1" s="117" t="s">
        <v>1</v>
      </c>
      <c r="O1" s="117" t="s">
        <v>547</v>
      </c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ht="22.5" customHeight="1">
      <c r="A2" s="119">
        <v>1.0</v>
      </c>
      <c r="B2" s="120">
        <v>45589.0</v>
      </c>
      <c r="C2" s="119" t="s">
        <v>548</v>
      </c>
      <c r="D2" s="121" t="s">
        <v>549</v>
      </c>
      <c r="E2" s="121" t="s">
        <v>460</v>
      </c>
      <c r="F2" s="121" t="s">
        <v>548</v>
      </c>
      <c r="G2" s="122" t="s">
        <v>550</v>
      </c>
      <c r="H2" s="122" t="s">
        <v>224</v>
      </c>
      <c r="I2" s="119">
        <v>440708.0</v>
      </c>
      <c r="J2" s="119" t="s">
        <v>551</v>
      </c>
      <c r="K2" s="119" t="s">
        <v>552</v>
      </c>
      <c r="L2" s="120">
        <v>45876.0</v>
      </c>
      <c r="M2" s="122" t="s">
        <v>222</v>
      </c>
      <c r="N2" s="119" t="s">
        <v>223</v>
      </c>
      <c r="O2" s="119" t="s">
        <v>553</v>
      </c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22.5" customHeight="1">
      <c r="A3" s="119">
        <v>2.0</v>
      </c>
      <c r="B3" s="120">
        <v>45603.0</v>
      </c>
      <c r="C3" s="119" t="s">
        <v>554</v>
      </c>
      <c r="D3" s="121" t="s">
        <v>555</v>
      </c>
      <c r="E3" s="121" t="s">
        <v>465</v>
      </c>
      <c r="F3" s="121" t="s">
        <v>556</v>
      </c>
      <c r="G3" s="122" t="s">
        <v>557</v>
      </c>
      <c r="H3" s="122" t="s">
        <v>488</v>
      </c>
      <c r="I3" s="119">
        <v>460502.0</v>
      </c>
      <c r="J3" s="119" t="s">
        <v>558</v>
      </c>
      <c r="K3" s="119" t="s">
        <v>552</v>
      </c>
      <c r="L3" s="120">
        <v>45894.0</v>
      </c>
      <c r="M3" s="122" t="s">
        <v>559</v>
      </c>
      <c r="N3" s="119" t="s">
        <v>560</v>
      </c>
      <c r="O3" s="119" t="s">
        <v>553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22.5" customHeight="1">
      <c r="A4" s="119">
        <v>3.0</v>
      </c>
      <c r="B4" s="120">
        <v>45603.0</v>
      </c>
      <c r="C4" s="119" t="s">
        <v>554</v>
      </c>
      <c r="D4" s="121" t="s">
        <v>555</v>
      </c>
      <c r="E4" s="121" t="s">
        <v>462</v>
      </c>
      <c r="F4" s="121" t="s">
        <v>561</v>
      </c>
      <c r="G4" s="122" t="s">
        <v>562</v>
      </c>
      <c r="H4" s="122" t="s">
        <v>525</v>
      </c>
      <c r="I4" s="119">
        <v>460425.0</v>
      </c>
      <c r="J4" s="119" t="s">
        <v>551</v>
      </c>
      <c r="K4" s="119" t="s">
        <v>552</v>
      </c>
      <c r="L4" s="120">
        <v>45910.0</v>
      </c>
      <c r="M4" s="122" t="s">
        <v>563</v>
      </c>
      <c r="N4" s="119" t="s">
        <v>564</v>
      </c>
      <c r="O4" s="119" t="s">
        <v>553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22.5" customHeight="1">
      <c r="A5" s="119">
        <v>4.0</v>
      </c>
      <c r="B5" s="120">
        <v>45603.0</v>
      </c>
      <c r="C5" s="119" t="s">
        <v>554</v>
      </c>
      <c r="D5" s="121" t="s">
        <v>555</v>
      </c>
      <c r="E5" s="121" t="s">
        <v>469</v>
      </c>
      <c r="F5" s="121" t="s">
        <v>565</v>
      </c>
      <c r="G5" s="122" t="s">
        <v>566</v>
      </c>
      <c r="H5" s="122" t="s">
        <v>488</v>
      </c>
      <c r="I5" s="119">
        <v>460311.0</v>
      </c>
      <c r="J5" s="119" t="s">
        <v>555</v>
      </c>
      <c r="K5" s="119" t="s">
        <v>567</v>
      </c>
      <c r="L5" s="120">
        <v>45916.0</v>
      </c>
      <c r="M5" s="122" t="s">
        <v>568</v>
      </c>
      <c r="N5" s="119" t="s">
        <v>569</v>
      </c>
      <c r="O5" s="119" t="s">
        <v>553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22.5" customHeight="1">
      <c r="A6" s="119">
        <v>5.0</v>
      </c>
      <c r="B6" s="120">
        <v>45603.0</v>
      </c>
      <c r="C6" s="119" t="s">
        <v>554</v>
      </c>
      <c r="D6" s="121" t="s">
        <v>555</v>
      </c>
      <c r="E6" s="121" t="s">
        <v>466</v>
      </c>
      <c r="F6" s="121" t="s">
        <v>570</v>
      </c>
      <c r="G6" s="122" t="s">
        <v>566</v>
      </c>
      <c r="H6" s="122" t="s">
        <v>488</v>
      </c>
      <c r="I6" s="119">
        <v>460311.0</v>
      </c>
      <c r="J6" s="119" t="s">
        <v>555</v>
      </c>
      <c r="K6" s="119" t="s">
        <v>567</v>
      </c>
      <c r="L6" s="120">
        <v>45894.0</v>
      </c>
      <c r="M6" s="122" t="s">
        <v>571</v>
      </c>
      <c r="N6" s="119" t="s">
        <v>572</v>
      </c>
      <c r="O6" s="119" t="s">
        <v>553</v>
      </c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22.5" customHeight="1">
      <c r="A7" s="119">
        <v>6.0</v>
      </c>
      <c r="B7" s="120">
        <v>45603.0</v>
      </c>
      <c r="C7" s="119" t="s">
        <v>554</v>
      </c>
      <c r="D7" s="121" t="s">
        <v>555</v>
      </c>
      <c r="E7" s="121" t="s">
        <v>468</v>
      </c>
      <c r="F7" s="121" t="s">
        <v>573</v>
      </c>
      <c r="G7" s="122" t="s">
        <v>566</v>
      </c>
      <c r="H7" s="122" t="s">
        <v>488</v>
      </c>
      <c r="I7" s="119">
        <v>460311.0</v>
      </c>
      <c r="J7" s="119" t="s">
        <v>555</v>
      </c>
      <c r="K7" s="119" t="s">
        <v>567</v>
      </c>
      <c r="L7" s="120">
        <v>45905.0</v>
      </c>
      <c r="M7" s="122" t="s">
        <v>574</v>
      </c>
      <c r="N7" s="119" t="s">
        <v>575</v>
      </c>
      <c r="O7" s="119" t="s">
        <v>553</v>
      </c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22.5" customHeight="1">
      <c r="A8" s="119">
        <v>7.0</v>
      </c>
      <c r="B8" s="120">
        <v>45603.0</v>
      </c>
      <c r="C8" s="119" t="s">
        <v>554</v>
      </c>
      <c r="D8" s="121" t="s">
        <v>555</v>
      </c>
      <c r="E8" s="121" t="s">
        <v>467</v>
      </c>
      <c r="F8" s="121" t="s">
        <v>576</v>
      </c>
      <c r="G8" s="122" t="s">
        <v>566</v>
      </c>
      <c r="H8" s="122" t="s">
        <v>488</v>
      </c>
      <c r="I8" s="119">
        <v>460311.0</v>
      </c>
      <c r="J8" s="119" t="s">
        <v>555</v>
      </c>
      <c r="K8" s="119" t="s">
        <v>552</v>
      </c>
      <c r="L8" s="120">
        <v>45917.0</v>
      </c>
      <c r="M8" s="122" t="s">
        <v>577</v>
      </c>
      <c r="N8" s="119" t="s">
        <v>578</v>
      </c>
      <c r="O8" s="119" t="s">
        <v>553</v>
      </c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22.5" customHeight="1">
      <c r="A9" s="119">
        <v>8.0</v>
      </c>
      <c r="B9" s="120">
        <v>45603.0</v>
      </c>
      <c r="C9" s="119" t="s">
        <v>554</v>
      </c>
      <c r="D9" s="121" t="s">
        <v>555</v>
      </c>
      <c r="E9" s="121" t="s">
        <v>464</v>
      </c>
      <c r="F9" s="121" t="s">
        <v>579</v>
      </c>
      <c r="G9" s="122" t="s">
        <v>557</v>
      </c>
      <c r="H9" s="122" t="s">
        <v>488</v>
      </c>
      <c r="I9" s="119">
        <v>460502.0</v>
      </c>
      <c r="J9" s="119" t="s">
        <v>558</v>
      </c>
      <c r="K9" s="119" t="s">
        <v>552</v>
      </c>
      <c r="L9" s="120">
        <v>45905.0</v>
      </c>
      <c r="M9" s="122" t="s">
        <v>580</v>
      </c>
      <c r="N9" s="119" t="s">
        <v>581</v>
      </c>
      <c r="O9" s="119" t="s">
        <v>553</v>
      </c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22.5" customHeight="1">
      <c r="A10" s="119">
        <v>9.0</v>
      </c>
      <c r="B10" s="120">
        <v>45678.0</v>
      </c>
      <c r="C10" s="119" t="s">
        <v>582</v>
      </c>
      <c r="D10" s="119" t="s">
        <v>583</v>
      </c>
      <c r="E10" s="119" t="s">
        <v>301</v>
      </c>
      <c r="F10" s="119" t="s">
        <v>584</v>
      </c>
      <c r="G10" s="122" t="s">
        <v>585</v>
      </c>
      <c r="H10" s="122" t="s">
        <v>525</v>
      </c>
      <c r="I10" s="119">
        <v>467911.0</v>
      </c>
      <c r="J10" s="119" t="s">
        <v>586</v>
      </c>
      <c r="K10" s="119" t="s">
        <v>552</v>
      </c>
      <c r="L10" s="120">
        <v>46015.0</v>
      </c>
      <c r="M10" s="122" t="s">
        <v>587</v>
      </c>
      <c r="N10" s="119" t="s">
        <v>588</v>
      </c>
      <c r="O10" s="119" t="s">
        <v>553</v>
      </c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22.5" customHeight="1">
      <c r="A11" s="119">
        <v>10.0</v>
      </c>
      <c r="B11" s="120">
        <v>45678.0</v>
      </c>
      <c r="C11" s="119" t="s">
        <v>582</v>
      </c>
      <c r="D11" s="119" t="s">
        <v>583</v>
      </c>
      <c r="E11" s="119" t="s">
        <v>325</v>
      </c>
      <c r="F11" s="119" t="s">
        <v>589</v>
      </c>
      <c r="G11" s="122" t="s">
        <v>590</v>
      </c>
      <c r="H11" s="122" t="s">
        <v>525</v>
      </c>
      <c r="I11" s="119">
        <v>468291.0</v>
      </c>
      <c r="J11" s="119" t="s">
        <v>549</v>
      </c>
      <c r="K11" s="119" t="s">
        <v>552</v>
      </c>
      <c r="L11" s="120">
        <v>46011.0</v>
      </c>
      <c r="M11" s="122" t="s">
        <v>591</v>
      </c>
      <c r="N11" s="119" t="s">
        <v>592</v>
      </c>
      <c r="O11" s="119" t="s">
        <v>553</v>
      </c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22.5" customHeight="1">
      <c r="A12" s="119">
        <v>11.0</v>
      </c>
      <c r="B12" s="120">
        <v>45678.0</v>
      </c>
      <c r="C12" s="119" t="s">
        <v>582</v>
      </c>
      <c r="D12" s="119" t="s">
        <v>583</v>
      </c>
      <c r="E12" s="119" t="s">
        <v>327</v>
      </c>
      <c r="F12" s="119" t="s">
        <v>593</v>
      </c>
      <c r="G12" s="122" t="s">
        <v>590</v>
      </c>
      <c r="H12" s="122" t="s">
        <v>525</v>
      </c>
      <c r="I12" s="119">
        <v>468291.0</v>
      </c>
      <c r="J12" s="119" t="s">
        <v>549</v>
      </c>
      <c r="K12" s="119" t="s">
        <v>594</v>
      </c>
      <c r="L12" s="120">
        <v>46012.0</v>
      </c>
      <c r="M12" s="122" t="s">
        <v>595</v>
      </c>
      <c r="N12" s="119" t="s">
        <v>596</v>
      </c>
      <c r="O12" s="119" t="s">
        <v>553</v>
      </c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22.5" customHeight="1">
      <c r="A13" s="119">
        <v>12.0</v>
      </c>
      <c r="B13" s="120">
        <v>45678.0</v>
      </c>
      <c r="C13" s="119" t="s">
        <v>582</v>
      </c>
      <c r="D13" s="119" t="s">
        <v>583</v>
      </c>
      <c r="E13" s="119" t="s">
        <v>338</v>
      </c>
      <c r="F13" s="119" t="s">
        <v>597</v>
      </c>
      <c r="G13" s="122" t="s">
        <v>585</v>
      </c>
      <c r="H13" s="122" t="s">
        <v>525</v>
      </c>
      <c r="I13" s="119">
        <v>467911.0</v>
      </c>
      <c r="J13" s="119" t="s">
        <v>586</v>
      </c>
      <c r="K13" s="119" t="s">
        <v>552</v>
      </c>
      <c r="L13" s="120">
        <v>46013.0</v>
      </c>
      <c r="M13" s="122" t="s">
        <v>598</v>
      </c>
      <c r="N13" s="119" t="s">
        <v>599</v>
      </c>
      <c r="O13" s="119" t="s">
        <v>553</v>
      </c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22.5" customHeight="1">
      <c r="A14" s="119">
        <v>13.0</v>
      </c>
      <c r="B14" s="120">
        <v>45678.0</v>
      </c>
      <c r="C14" s="119" t="s">
        <v>582</v>
      </c>
      <c r="D14" s="119" t="s">
        <v>583</v>
      </c>
      <c r="E14" s="119" t="s">
        <v>345</v>
      </c>
      <c r="F14" s="119" t="s">
        <v>600</v>
      </c>
      <c r="G14" s="122" t="s">
        <v>590</v>
      </c>
      <c r="H14" s="122" t="s">
        <v>525</v>
      </c>
      <c r="I14" s="119">
        <v>468291.0</v>
      </c>
      <c r="J14" s="119" t="s">
        <v>549</v>
      </c>
      <c r="K14" s="119" t="s">
        <v>567</v>
      </c>
      <c r="L14" s="120">
        <v>46010.0</v>
      </c>
      <c r="M14" s="122" t="s">
        <v>601</v>
      </c>
      <c r="N14" s="119" t="s">
        <v>602</v>
      </c>
      <c r="O14" s="119" t="s">
        <v>553</v>
      </c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22.5" customHeight="1">
      <c r="A15" s="119">
        <v>14.0</v>
      </c>
      <c r="B15" s="120">
        <v>45678.0</v>
      </c>
      <c r="C15" s="119" t="s">
        <v>582</v>
      </c>
      <c r="D15" s="119" t="s">
        <v>583</v>
      </c>
      <c r="E15" s="119" t="s">
        <v>348</v>
      </c>
      <c r="F15" s="119" t="s">
        <v>603</v>
      </c>
      <c r="G15" s="122" t="s">
        <v>585</v>
      </c>
      <c r="H15" s="122" t="s">
        <v>525</v>
      </c>
      <c r="I15" s="119">
        <v>467911.0</v>
      </c>
      <c r="J15" s="119" t="s">
        <v>586</v>
      </c>
      <c r="K15" s="119" t="s">
        <v>567</v>
      </c>
      <c r="L15" s="120">
        <v>46015.0</v>
      </c>
      <c r="M15" s="122" t="s">
        <v>604</v>
      </c>
      <c r="N15" s="119" t="s">
        <v>605</v>
      </c>
      <c r="O15" s="119" t="s">
        <v>553</v>
      </c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22.5" customHeight="1">
      <c r="A16" s="119">
        <v>15.0</v>
      </c>
      <c r="B16" s="120">
        <v>45678.0</v>
      </c>
      <c r="C16" s="119" t="s">
        <v>582</v>
      </c>
      <c r="D16" s="119" t="s">
        <v>583</v>
      </c>
      <c r="E16" s="119" t="s">
        <v>353</v>
      </c>
      <c r="F16" s="119" t="s">
        <v>606</v>
      </c>
      <c r="G16" s="122" t="s">
        <v>590</v>
      </c>
      <c r="H16" s="122" t="s">
        <v>525</v>
      </c>
      <c r="I16" s="119">
        <v>468291.0</v>
      </c>
      <c r="J16" s="119" t="s">
        <v>549</v>
      </c>
      <c r="K16" s="119" t="s">
        <v>552</v>
      </c>
      <c r="L16" s="120">
        <v>46013.0</v>
      </c>
      <c r="M16" s="122" t="s">
        <v>607</v>
      </c>
      <c r="N16" s="119" t="s">
        <v>608</v>
      </c>
      <c r="O16" s="119" t="s">
        <v>553</v>
      </c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22.5" customHeight="1">
      <c r="A17" s="119">
        <v>16.0</v>
      </c>
      <c r="B17" s="120">
        <v>45678.0</v>
      </c>
      <c r="C17" s="119" t="s">
        <v>582</v>
      </c>
      <c r="D17" s="119" t="s">
        <v>583</v>
      </c>
      <c r="E17" s="119" t="s">
        <v>355</v>
      </c>
      <c r="F17" s="119" t="s">
        <v>609</v>
      </c>
      <c r="G17" s="122" t="s">
        <v>585</v>
      </c>
      <c r="H17" s="122" t="s">
        <v>525</v>
      </c>
      <c r="I17" s="119">
        <v>467911.0</v>
      </c>
      <c r="J17" s="119" t="s">
        <v>586</v>
      </c>
      <c r="K17" s="119" t="s">
        <v>567</v>
      </c>
      <c r="L17" s="120">
        <v>46011.0</v>
      </c>
      <c r="M17" s="122" t="s">
        <v>610</v>
      </c>
      <c r="N17" s="119" t="s">
        <v>611</v>
      </c>
      <c r="O17" s="119" t="s">
        <v>553</v>
      </c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22.5" customHeight="1">
      <c r="A18" s="119">
        <v>17.0</v>
      </c>
      <c r="B18" s="120">
        <v>45678.0</v>
      </c>
      <c r="C18" s="119" t="s">
        <v>582</v>
      </c>
      <c r="D18" s="119" t="s">
        <v>583</v>
      </c>
      <c r="E18" s="119" t="s">
        <v>369</v>
      </c>
      <c r="F18" s="119" t="s">
        <v>612</v>
      </c>
      <c r="G18" s="122" t="s">
        <v>613</v>
      </c>
      <c r="H18" s="122" t="s">
        <v>525</v>
      </c>
      <c r="I18" s="119">
        <v>469545.0</v>
      </c>
      <c r="J18" s="119" t="s">
        <v>614</v>
      </c>
      <c r="K18" s="119" t="s">
        <v>567</v>
      </c>
      <c r="L18" s="120">
        <v>46014.0</v>
      </c>
      <c r="M18" s="122" t="s">
        <v>615</v>
      </c>
      <c r="N18" s="119" t="s">
        <v>616</v>
      </c>
      <c r="O18" s="119" t="s">
        <v>553</v>
      </c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22.5" customHeight="1">
      <c r="A19" s="119">
        <v>18.0</v>
      </c>
      <c r="B19" s="120">
        <v>45678.0</v>
      </c>
      <c r="C19" s="119" t="s">
        <v>582</v>
      </c>
      <c r="D19" s="119" t="s">
        <v>583</v>
      </c>
      <c r="E19" s="119" t="s">
        <v>382</v>
      </c>
      <c r="F19" s="119" t="s">
        <v>617</v>
      </c>
      <c r="G19" s="122" t="s">
        <v>590</v>
      </c>
      <c r="H19" s="122" t="s">
        <v>525</v>
      </c>
      <c r="I19" s="119">
        <v>468291.0</v>
      </c>
      <c r="J19" s="119" t="s">
        <v>549</v>
      </c>
      <c r="K19" s="119" t="s">
        <v>594</v>
      </c>
      <c r="L19" s="120">
        <v>46009.0</v>
      </c>
      <c r="M19" s="122" t="s">
        <v>618</v>
      </c>
      <c r="N19" s="119" t="s">
        <v>619</v>
      </c>
      <c r="O19" s="119" t="s">
        <v>553</v>
      </c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22.5" customHeight="1">
      <c r="A20" s="119">
        <v>19.0</v>
      </c>
      <c r="B20" s="120">
        <v>45678.0</v>
      </c>
      <c r="C20" s="119" t="s">
        <v>582</v>
      </c>
      <c r="D20" s="119" t="s">
        <v>583</v>
      </c>
      <c r="E20" s="119" t="s">
        <v>446</v>
      </c>
      <c r="F20" s="119" t="s">
        <v>620</v>
      </c>
      <c r="G20" s="122" t="s">
        <v>590</v>
      </c>
      <c r="H20" s="122" t="s">
        <v>525</v>
      </c>
      <c r="I20" s="119">
        <v>468291.0</v>
      </c>
      <c r="J20" s="119" t="s">
        <v>549</v>
      </c>
      <c r="K20" s="119" t="s">
        <v>567</v>
      </c>
      <c r="L20" s="120">
        <v>46011.0</v>
      </c>
      <c r="M20" s="122" t="s">
        <v>621</v>
      </c>
      <c r="N20" s="119" t="s">
        <v>622</v>
      </c>
      <c r="O20" s="119" t="s">
        <v>553</v>
      </c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22.5" customHeight="1">
      <c r="A21" s="119">
        <v>20.0</v>
      </c>
      <c r="B21" s="120">
        <v>45678.0</v>
      </c>
      <c r="C21" s="119" t="s">
        <v>582</v>
      </c>
      <c r="D21" s="119" t="s">
        <v>583</v>
      </c>
      <c r="E21" s="119" t="s">
        <v>438</v>
      </c>
      <c r="F21" s="119" t="s">
        <v>623</v>
      </c>
      <c r="G21" s="122" t="s">
        <v>590</v>
      </c>
      <c r="H21" s="122" t="s">
        <v>525</v>
      </c>
      <c r="I21" s="119">
        <v>468291.0</v>
      </c>
      <c r="J21" s="119" t="s">
        <v>549</v>
      </c>
      <c r="K21" s="119" t="s">
        <v>567</v>
      </c>
      <c r="L21" s="120">
        <v>46010.0</v>
      </c>
      <c r="M21" s="122" t="s">
        <v>624</v>
      </c>
      <c r="N21" s="119" t="s">
        <v>625</v>
      </c>
      <c r="O21" s="119" t="s">
        <v>553</v>
      </c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22.5" customHeight="1">
      <c r="A22" s="119">
        <v>21.0</v>
      </c>
      <c r="B22" s="120">
        <v>45678.0</v>
      </c>
      <c r="C22" s="119" t="s">
        <v>582</v>
      </c>
      <c r="D22" s="119" t="s">
        <v>583</v>
      </c>
      <c r="E22" s="124" t="s">
        <v>448</v>
      </c>
      <c r="F22" s="124" t="s">
        <v>626</v>
      </c>
      <c r="G22" s="122" t="s">
        <v>590</v>
      </c>
      <c r="H22" s="122" t="s">
        <v>525</v>
      </c>
      <c r="I22" s="119">
        <v>468291.0</v>
      </c>
      <c r="J22" s="119" t="s">
        <v>549</v>
      </c>
      <c r="K22" s="119" t="s">
        <v>552</v>
      </c>
      <c r="L22" s="120">
        <v>46008.0</v>
      </c>
      <c r="M22" s="122" t="s">
        <v>627</v>
      </c>
      <c r="N22" s="119" t="s">
        <v>628</v>
      </c>
      <c r="O22" s="119" t="s">
        <v>553</v>
      </c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22.5" customHeight="1">
      <c r="A23" s="119">
        <v>22.0</v>
      </c>
      <c r="B23" s="125">
        <v>45678.0</v>
      </c>
      <c r="C23" s="119" t="s">
        <v>582</v>
      </c>
      <c r="D23" s="119" t="s">
        <v>583</v>
      </c>
      <c r="E23" s="124" t="s">
        <v>442</v>
      </c>
      <c r="F23" s="124" t="s">
        <v>629</v>
      </c>
      <c r="G23" s="122" t="s">
        <v>613</v>
      </c>
      <c r="H23" s="122" t="s">
        <v>525</v>
      </c>
      <c r="I23" s="119">
        <v>469545.0</v>
      </c>
      <c r="J23" s="124" t="s">
        <v>614</v>
      </c>
      <c r="K23" s="124" t="s">
        <v>594</v>
      </c>
      <c r="L23" s="125">
        <v>46013.0</v>
      </c>
      <c r="M23" s="122" t="s">
        <v>630</v>
      </c>
      <c r="N23" s="124" t="s">
        <v>631</v>
      </c>
      <c r="O23" s="119" t="s">
        <v>553</v>
      </c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22.5" customHeight="1">
      <c r="A24" s="119">
        <v>23.0</v>
      </c>
      <c r="B24" s="120">
        <v>46196.0</v>
      </c>
      <c r="C24" s="119" t="s">
        <v>582</v>
      </c>
      <c r="D24" s="119" t="s">
        <v>583</v>
      </c>
      <c r="E24" s="119" t="s">
        <v>262</v>
      </c>
      <c r="F24" s="119" t="s">
        <v>632</v>
      </c>
      <c r="G24" s="122" t="s">
        <v>633</v>
      </c>
      <c r="H24" s="122" t="s">
        <v>634</v>
      </c>
      <c r="I24" s="119">
        <v>467910.0</v>
      </c>
      <c r="J24" s="119" t="s">
        <v>635</v>
      </c>
      <c r="K24" s="119" t="s">
        <v>567</v>
      </c>
      <c r="L24" s="120">
        <v>45714.0</v>
      </c>
      <c r="M24" s="122"/>
      <c r="N24" s="119"/>
      <c r="O24" s="119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22.5" customHeight="1">
      <c r="A25" s="119">
        <v>24.0</v>
      </c>
      <c r="B25" s="120">
        <v>46196.0</v>
      </c>
      <c r="C25" s="119" t="s">
        <v>582</v>
      </c>
      <c r="D25" s="119" t="s">
        <v>583</v>
      </c>
      <c r="E25" s="119" t="s">
        <v>266</v>
      </c>
      <c r="F25" s="119" t="s">
        <v>636</v>
      </c>
      <c r="G25" s="122" t="s">
        <v>633</v>
      </c>
      <c r="H25" s="122" t="s">
        <v>634</v>
      </c>
      <c r="I25" s="119">
        <v>467910.0</v>
      </c>
      <c r="J25" s="119" t="s">
        <v>635</v>
      </c>
      <c r="K25" s="119" t="s">
        <v>567</v>
      </c>
      <c r="L25" s="120">
        <v>46081.0</v>
      </c>
      <c r="M25" s="122"/>
      <c r="N25" s="119"/>
      <c r="O25" s="119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22.5" customHeight="1">
      <c r="A26" s="119">
        <v>25.0</v>
      </c>
      <c r="B26" s="120">
        <v>46196.0</v>
      </c>
      <c r="C26" s="119" t="s">
        <v>582</v>
      </c>
      <c r="D26" s="119" t="s">
        <v>583</v>
      </c>
      <c r="E26" s="119" t="s">
        <v>318</v>
      </c>
      <c r="F26" s="119" t="s">
        <v>637</v>
      </c>
      <c r="G26" s="122" t="s">
        <v>638</v>
      </c>
      <c r="H26" s="122" t="s">
        <v>634</v>
      </c>
      <c r="I26" s="119">
        <v>468013.0</v>
      </c>
      <c r="J26" s="119" t="s">
        <v>639</v>
      </c>
      <c r="K26" s="119" t="s">
        <v>567</v>
      </c>
      <c r="L26" s="119" t="s">
        <v>640</v>
      </c>
      <c r="M26" s="122" t="s">
        <v>641</v>
      </c>
      <c r="N26" s="119"/>
      <c r="O26" s="119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22.5" customHeight="1">
      <c r="A27" s="119">
        <v>26.0</v>
      </c>
      <c r="B27" s="120">
        <v>46196.0</v>
      </c>
      <c r="C27" s="119" t="s">
        <v>582</v>
      </c>
      <c r="D27" s="119" t="s">
        <v>583</v>
      </c>
      <c r="E27" s="119" t="s">
        <v>342</v>
      </c>
      <c r="F27" s="119" t="s">
        <v>642</v>
      </c>
      <c r="G27" s="122" t="s">
        <v>643</v>
      </c>
      <c r="H27" s="122" t="s">
        <v>644</v>
      </c>
      <c r="I27" s="119"/>
      <c r="J27" s="119" t="s">
        <v>549</v>
      </c>
      <c r="K27" s="119" t="s">
        <v>552</v>
      </c>
      <c r="L27" s="120">
        <v>46086.0</v>
      </c>
      <c r="M27" s="122"/>
      <c r="N27" s="119"/>
      <c r="O27" s="119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22.5" customHeight="1">
      <c r="A28" s="119">
        <v>27.0</v>
      </c>
      <c r="B28" s="120">
        <v>46196.0</v>
      </c>
      <c r="C28" s="119" t="s">
        <v>582</v>
      </c>
      <c r="D28" s="119" t="s">
        <v>583</v>
      </c>
      <c r="E28" s="119" t="s">
        <v>350</v>
      </c>
      <c r="F28" s="119" t="s">
        <v>645</v>
      </c>
      <c r="G28" s="122" t="s">
        <v>638</v>
      </c>
      <c r="H28" s="122" t="s">
        <v>634</v>
      </c>
      <c r="I28" s="119">
        <v>468013.0</v>
      </c>
      <c r="J28" s="119" t="s">
        <v>639</v>
      </c>
      <c r="K28" s="119" t="s">
        <v>552</v>
      </c>
      <c r="L28" s="120">
        <v>45714.0</v>
      </c>
      <c r="M28" s="122"/>
      <c r="N28" s="119"/>
      <c r="O28" s="119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22.5" customHeight="1">
      <c r="A29" s="119">
        <v>28.0</v>
      </c>
      <c r="B29" s="120">
        <v>46196.0</v>
      </c>
      <c r="C29" s="119" t="s">
        <v>582</v>
      </c>
      <c r="D29" s="119" t="s">
        <v>583</v>
      </c>
      <c r="E29" s="119" t="s">
        <v>360</v>
      </c>
      <c r="F29" s="119" t="s">
        <v>646</v>
      </c>
      <c r="G29" s="122" t="s">
        <v>647</v>
      </c>
      <c r="H29" s="122" t="s">
        <v>525</v>
      </c>
      <c r="I29" s="119">
        <v>468304.0</v>
      </c>
      <c r="J29" s="119" t="s">
        <v>549</v>
      </c>
      <c r="K29" s="119" t="s">
        <v>567</v>
      </c>
      <c r="L29" s="120">
        <v>46081.0</v>
      </c>
      <c r="M29" s="122"/>
      <c r="N29" s="119"/>
      <c r="O29" s="119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22.5" customHeight="1">
      <c r="A30" s="119">
        <v>29.0</v>
      </c>
      <c r="B30" s="120">
        <v>46196.0</v>
      </c>
      <c r="C30" s="119" t="s">
        <v>582</v>
      </c>
      <c r="D30" s="119" t="s">
        <v>583</v>
      </c>
      <c r="E30" s="119" t="s">
        <v>378</v>
      </c>
      <c r="F30" s="119" t="s">
        <v>648</v>
      </c>
      <c r="G30" s="122" t="s">
        <v>638</v>
      </c>
      <c r="H30" s="122" t="s">
        <v>634</v>
      </c>
      <c r="I30" s="119">
        <v>468013.0</v>
      </c>
      <c r="J30" s="119" t="s">
        <v>639</v>
      </c>
      <c r="K30" s="119" t="s">
        <v>552</v>
      </c>
      <c r="L30" s="120">
        <v>46087.0</v>
      </c>
      <c r="M30" s="122"/>
      <c r="N30" s="119"/>
      <c r="O30" s="119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22.5" customHeight="1">
      <c r="A31" s="119">
        <v>30.0</v>
      </c>
      <c r="B31" s="120">
        <v>46196.0</v>
      </c>
      <c r="C31" s="119" t="s">
        <v>582</v>
      </c>
      <c r="D31" s="119" t="s">
        <v>583</v>
      </c>
      <c r="E31" s="119" t="s">
        <v>385</v>
      </c>
      <c r="F31" s="119" t="s">
        <v>649</v>
      </c>
      <c r="G31" s="122" t="s">
        <v>633</v>
      </c>
      <c r="H31" s="122" t="s">
        <v>634</v>
      </c>
      <c r="I31" s="119">
        <v>467910.0</v>
      </c>
      <c r="J31" s="119" t="s">
        <v>635</v>
      </c>
      <c r="K31" s="119" t="s">
        <v>552</v>
      </c>
      <c r="L31" s="120">
        <v>46091.0</v>
      </c>
      <c r="M31" s="122"/>
      <c r="N31" s="119"/>
      <c r="O31" s="119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22.5" customHeight="1">
      <c r="A32" s="119">
        <v>31.0</v>
      </c>
      <c r="B32" s="120">
        <v>45897.0</v>
      </c>
      <c r="C32" s="119" t="s">
        <v>554</v>
      </c>
      <c r="D32" s="119" t="s">
        <v>583</v>
      </c>
      <c r="E32" s="124">
        <v>5969.0</v>
      </c>
      <c r="F32" s="124"/>
      <c r="G32" s="122" t="s">
        <v>650</v>
      </c>
      <c r="H32" s="126" t="s">
        <v>525</v>
      </c>
      <c r="I32" s="127"/>
      <c r="J32" s="127"/>
      <c r="K32" s="127" t="s">
        <v>651</v>
      </c>
      <c r="L32" s="120">
        <v>45834.0</v>
      </c>
      <c r="M32" s="126"/>
      <c r="N32" s="127"/>
      <c r="O32" s="127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22.5" customHeight="1">
      <c r="A33" s="119">
        <v>32.0</v>
      </c>
      <c r="B33" s="120">
        <v>45897.0</v>
      </c>
      <c r="C33" s="119" t="s">
        <v>554</v>
      </c>
      <c r="D33" s="119" t="s">
        <v>583</v>
      </c>
      <c r="E33" s="124" t="s">
        <v>234</v>
      </c>
      <c r="F33" s="124"/>
      <c r="G33" s="122" t="s">
        <v>652</v>
      </c>
      <c r="H33" s="126" t="s">
        <v>634</v>
      </c>
      <c r="I33" s="127"/>
      <c r="J33" s="127"/>
      <c r="K33" s="127" t="s">
        <v>651</v>
      </c>
      <c r="L33" s="120">
        <v>45834.0</v>
      </c>
      <c r="M33" s="126"/>
      <c r="N33" s="127"/>
      <c r="O33" s="127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22.5" customHeight="1">
      <c r="A34" s="119">
        <v>33.0</v>
      </c>
      <c r="B34" s="120">
        <v>45897.0</v>
      </c>
      <c r="C34" s="119" t="s">
        <v>554</v>
      </c>
      <c r="D34" s="119" t="s">
        <v>583</v>
      </c>
      <c r="E34" s="124" t="s">
        <v>263</v>
      </c>
      <c r="F34" s="124"/>
      <c r="G34" s="122" t="s">
        <v>650</v>
      </c>
      <c r="H34" s="126" t="s">
        <v>525</v>
      </c>
      <c r="I34" s="119"/>
      <c r="J34" s="119"/>
      <c r="K34" s="119" t="s">
        <v>552</v>
      </c>
      <c r="L34" s="120">
        <v>45834.0</v>
      </c>
      <c r="M34" s="126"/>
      <c r="N34" s="119"/>
      <c r="O34" s="119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22.5" customHeight="1">
      <c r="A35" s="119">
        <v>34.0</v>
      </c>
      <c r="B35" s="120">
        <v>45897.0</v>
      </c>
      <c r="C35" s="119" t="s">
        <v>554</v>
      </c>
      <c r="D35" s="119" t="s">
        <v>583</v>
      </c>
      <c r="E35" s="124" t="s">
        <v>277</v>
      </c>
      <c r="F35" s="124"/>
      <c r="G35" s="128" t="s">
        <v>653</v>
      </c>
      <c r="H35" s="126" t="s">
        <v>634</v>
      </c>
      <c r="I35" s="127"/>
      <c r="J35" s="127"/>
      <c r="K35" s="127" t="s">
        <v>552</v>
      </c>
      <c r="L35" s="120">
        <v>45834.0</v>
      </c>
      <c r="M35" s="126"/>
      <c r="N35" s="127"/>
      <c r="O35" s="127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22.5" customHeight="1">
      <c r="A36" s="119">
        <v>35.0</v>
      </c>
      <c r="B36" s="120">
        <v>45897.0</v>
      </c>
      <c r="C36" s="119" t="s">
        <v>554</v>
      </c>
      <c r="D36" s="119" t="s">
        <v>583</v>
      </c>
      <c r="E36" s="124" t="s">
        <v>330</v>
      </c>
      <c r="F36" s="124"/>
      <c r="G36" s="128" t="s">
        <v>647</v>
      </c>
      <c r="H36" s="126" t="s">
        <v>525</v>
      </c>
      <c r="I36" s="127"/>
      <c r="J36" s="127"/>
      <c r="K36" s="127" t="s">
        <v>552</v>
      </c>
      <c r="L36" s="120">
        <v>45834.0</v>
      </c>
      <c r="M36" s="126"/>
      <c r="N36" s="127"/>
      <c r="O36" s="127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22.5" customHeight="1">
      <c r="A37" s="119">
        <v>36.0</v>
      </c>
      <c r="B37" s="120">
        <v>45897.0</v>
      </c>
      <c r="C37" s="119" t="s">
        <v>554</v>
      </c>
      <c r="D37" s="119" t="s">
        <v>583</v>
      </c>
      <c r="E37" s="124" t="s">
        <v>334</v>
      </c>
      <c r="F37" s="124"/>
      <c r="G37" s="128" t="s">
        <v>647</v>
      </c>
      <c r="H37" s="126" t="s">
        <v>525</v>
      </c>
      <c r="I37" s="127"/>
      <c r="J37" s="127"/>
      <c r="K37" s="127" t="s">
        <v>567</v>
      </c>
      <c r="L37" s="120">
        <v>45834.0</v>
      </c>
      <c r="M37" s="126"/>
      <c r="N37" s="127"/>
      <c r="O37" s="127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22.5" customHeight="1">
      <c r="A38" s="119">
        <v>37.0</v>
      </c>
      <c r="B38" s="120">
        <v>45897.0</v>
      </c>
      <c r="C38" s="119" t="s">
        <v>554</v>
      </c>
      <c r="D38" s="119" t="s">
        <v>583</v>
      </c>
      <c r="E38" s="124" t="s">
        <v>654</v>
      </c>
      <c r="F38" s="124"/>
      <c r="G38" s="128" t="s">
        <v>655</v>
      </c>
      <c r="H38" s="126" t="s">
        <v>525</v>
      </c>
      <c r="I38" s="127"/>
      <c r="J38" s="127"/>
      <c r="K38" s="127" t="s">
        <v>651</v>
      </c>
      <c r="L38" s="120">
        <v>45834.0</v>
      </c>
      <c r="M38" s="126"/>
      <c r="N38" s="127"/>
      <c r="O38" s="127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22.5" customHeight="1">
      <c r="A39" s="119">
        <v>38.0</v>
      </c>
      <c r="B39" s="129">
        <v>45722.0</v>
      </c>
      <c r="C39" s="130" t="s">
        <v>656</v>
      </c>
      <c r="D39" s="130" t="s">
        <v>657</v>
      </c>
      <c r="E39" s="131">
        <v>1345.0</v>
      </c>
      <c r="F39" s="131"/>
      <c r="G39" s="132" t="s">
        <v>658</v>
      </c>
      <c r="H39" s="132" t="s">
        <v>634</v>
      </c>
      <c r="I39" s="131"/>
      <c r="J39" s="131"/>
      <c r="K39" s="131" t="s">
        <v>552</v>
      </c>
      <c r="L39" s="133">
        <v>46016.0</v>
      </c>
      <c r="M39" s="134"/>
      <c r="N39" s="134"/>
      <c r="O39" s="134"/>
    </row>
    <row r="40" ht="22.5" customHeight="1">
      <c r="A40" s="119">
        <v>39.0</v>
      </c>
      <c r="B40" s="129">
        <v>45722.0</v>
      </c>
      <c r="C40" s="130" t="s">
        <v>656</v>
      </c>
      <c r="D40" s="130" t="s">
        <v>657</v>
      </c>
      <c r="E40" s="131">
        <v>1579.0</v>
      </c>
      <c r="F40" s="131"/>
      <c r="G40" s="132" t="s">
        <v>658</v>
      </c>
      <c r="H40" s="132" t="s">
        <v>634</v>
      </c>
      <c r="I40" s="131"/>
      <c r="J40" s="131"/>
      <c r="K40" s="131" t="s">
        <v>567</v>
      </c>
      <c r="L40" s="133">
        <v>46016.0</v>
      </c>
      <c r="M40" s="134"/>
      <c r="N40" s="134"/>
      <c r="O40" s="134"/>
    </row>
    <row r="41" ht="22.5" customHeight="1">
      <c r="A41" s="119">
        <v>40.0</v>
      </c>
      <c r="B41" s="129">
        <v>45722.0</v>
      </c>
      <c r="C41" s="130" t="s">
        <v>656</v>
      </c>
      <c r="D41" s="130" t="s">
        <v>657</v>
      </c>
      <c r="E41" s="131">
        <v>24199.0</v>
      </c>
      <c r="F41" s="131"/>
      <c r="G41" s="132" t="s">
        <v>659</v>
      </c>
      <c r="H41" s="132" t="s">
        <v>488</v>
      </c>
      <c r="I41" s="131"/>
      <c r="J41" s="131"/>
      <c r="K41" s="131" t="s">
        <v>552</v>
      </c>
      <c r="L41" s="133">
        <v>46016.0</v>
      </c>
      <c r="M41" s="134"/>
      <c r="N41" s="134"/>
      <c r="O41" s="134"/>
    </row>
    <row r="42" ht="22.5" customHeight="1">
      <c r="A42" s="119">
        <v>41.0</v>
      </c>
      <c r="B42" s="129">
        <v>45722.0</v>
      </c>
      <c r="C42" s="130" t="s">
        <v>656</v>
      </c>
      <c r="D42" s="130" t="s">
        <v>657</v>
      </c>
      <c r="E42" s="131">
        <v>1578.0</v>
      </c>
      <c r="F42" s="131"/>
      <c r="G42" s="132" t="s">
        <v>659</v>
      </c>
      <c r="H42" s="132" t="s">
        <v>488</v>
      </c>
      <c r="I42" s="131"/>
      <c r="J42" s="131"/>
      <c r="K42" s="131" t="s">
        <v>567</v>
      </c>
      <c r="L42" s="133">
        <v>46016.0</v>
      </c>
      <c r="M42" s="134"/>
      <c r="N42" s="134"/>
      <c r="O42" s="134"/>
    </row>
    <row r="43" ht="22.5" customHeight="1">
      <c r="A43" s="119">
        <v>42.0</v>
      </c>
      <c r="B43" s="129">
        <v>45722.0</v>
      </c>
      <c r="C43" s="130" t="s">
        <v>656</v>
      </c>
      <c r="D43" s="130" t="s">
        <v>657</v>
      </c>
      <c r="E43" s="131">
        <v>1545.0</v>
      </c>
      <c r="F43" s="131"/>
      <c r="G43" s="132" t="s">
        <v>659</v>
      </c>
      <c r="H43" s="132" t="s">
        <v>488</v>
      </c>
      <c r="I43" s="131"/>
      <c r="J43" s="131"/>
      <c r="K43" s="131" t="s">
        <v>552</v>
      </c>
      <c r="L43" s="133">
        <v>46016.0</v>
      </c>
      <c r="M43" s="134"/>
      <c r="N43" s="134"/>
      <c r="O43" s="134"/>
    </row>
    <row r="44" ht="22.5" customHeight="1">
      <c r="A44" s="119">
        <v>43.0</v>
      </c>
      <c r="B44" s="129">
        <v>45722.0</v>
      </c>
      <c r="C44" s="130" t="s">
        <v>656</v>
      </c>
      <c r="D44" s="130" t="s">
        <v>657</v>
      </c>
      <c r="E44" s="131">
        <v>1352.0</v>
      </c>
      <c r="F44" s="131"/>
      <c r="G44" s="132" t="s">
        <v>660</v>
      </c>
      <c r="H44" s="132" t="s">
        <v>634</v>
      </c>
      <c r="I44" s="131"/>
      <c r="J44" s="131"/>
      <c r="K44" s="131" t="s">
        <v>567</v>
      </c>
      <c r="L44" s="133">
        <v>46016.0</v>
      </c>
      <c r="M44" s="134"/>
      <c r="N44" s="134"/>
      <c r="O44" s="134"/>
    </row>
    <row r="45" ht="22.5" customHeight="1">
      <c r="A45" s="119">
        <v>44.0</v>
      </c>
      <c r="B45" s="129">
        <v>45722.0</v>
      </c>
      <c r="C45" s="130" t="s">
        <v>656</v>
      </c>
      <c r="D45" s="130" t="s">
        <v>657</v>
      </c>
      <c r="E45" s="131">
        <v>24426.0</v>
      </c>
      <c r="F45" s="131"/>
      <c r="G45" s="132" t="s">
        <v>660</v>
      </c>
      <c r="H45" s="132" t="s">
        <v>634</v>
      </c>
      <c r="I45" s="131"/>
      <c r="J45" s="131"/>
      <c r="K45" s="131" t="s">
        <v>567</v>
      </c>
      <c r="L45" s="133">
        <v>46016.0</v>
      </c>
      <c r="M45" s="134"/>
      <c r="N45" s="134"/>
      <c r="O45" s="134"/>
    </row>
    <row r="46" ht="22.5" customHeight="1">
      <c r="A46" s="119">
        <v>45.0</v>
      </c>
      <c r="B46" s="129">
        <v>45722.0</v>
      </c>
      <c r="C46" s="130" t="s">
        <v>656</v>
      </c>
      <c r="D46" s="130" t="s">
        <v>657</v>
      </c>
      <c r="E46" s="131">
        <v>24193.0</v>
      </c>
      <c r="F46" s="131"/>
      <c r="G46" s="132" t="s">
        <v>660</v>
      </c>
      <c r="H46" s="132" t="s">
        <v>634</v>
      </c>
      <c r="I46" s="131"/>
      <c r="J46" s="131"/>
      <c r="K46" s="131" t="s">
        <v>567</v>
      </c>
      <c r="L46" s="133">
        <v>46016.0</v>
      </c>
      <c r="M46" s="134"/>
      <c r="N46" s="134"/>
      <c r="O46" s="134"/>
    </row>
    <row r="47" ht="22.5" customHeight="1">
      <c r="A47" s="119">
        <v>46.0</v>
      </c>
      <c r="B47" s="129">
        <v>45722.0</v>
      </c>
      <c r="C47" s="130" t="s">
        <v>656</v>
      </c>
      <c r="D47" s="130" t="s">
        <v>657</v>
      </c>
      <c r="E47" s="131">
        <v>24184.0</v>
      </c>
      <c r="F47" s="131"/>
      <c r="G47" s="132" t="s">
        <v>661</v>
      </c>
      <c r="H47" s="132" t="s">
        <v>488</v>
      </c>
      <c r="I47" s="131"/>
      <c r="J47" s="131"/>
      <c r="K47" s="131" t="s">
        <v>552</v>
      </c>
      <c r="L47" s="133">
        <v>46016.0</v>
      </c>
      <c r="M47" s="134"/>
      <c r="N47" s="134"/>
      <c r="O47" s="134"/>
    </row>
    <row r="48" ht="22.5" customHeight="1">
      <c r="A48" s="119">
        <v>47.0</v>
      </c>
      <c r="B48" s="129">
        <v>45945.0</v>
      </c>
      <c r="C48" s="130" t="s">
        <v>662</v>
      </c>
      <c r="D48" s="130" t="s">
        <v>663</v>
      </c>
      <c r="E48" s="131">
        <v>3394.0</v>
      </c>
      <c r="F48" s="131"/>
      <c r="G48" s="132" t="s">
        <v>664</v>
      </c>
      <c r="H48" s="132" t="s">
        <v>488</v>
      </c>
      <c r="I48" s="131"/>
      <c r="J48" s="131"/>
      <c r="K48" s="131" t="s">
        <v>567</v>
      </c>
      <c r="L48" s="133">
        <v>45863.0</v>
      </c>
      <c r="M48" s="134"/>
      <c r="N48" s="134"/>
      <c r="O48" s="134"/>
    </row>
    <row r="49" ht="22.5" customHeight="1">
      <c r="A49" s="119">
        <v>48.0</v>
      </c>
      <c r="B49" s="129">
        <v>45945.0</v>
      </c>
      <c r="C49" s="130" t="s">
        <v>662</v>
      </c>
      <c r="D49" s="130" t="s">
        <v>663</v>
      </c>
      <c r="E49" s="131">
        <v>3436.0</v>
      </c>
      <c r="F49" s="131"/>
      <c r="G49" s="132" t="s">
        <v>664</v>
      </c>
      <c r="H49" s="132" t="s">
        <v>488</v>
      </c>
      <c r="I49" s="131"/>
      <c r="J49" s="131"/>
      <c r="K49" s="131" t="s">
        <v>567</v>
      </c>
      <c r="L49" s="133">
        <v>45863.0</v>
      </c>
      <c r="M49" s="134"/>
      <c r="N49" s="134"/>
      <c r="O49" s="134"/>
    </row>
    <row r="50" ht="22.5" customHeight="1">
      <c r="A50" s="119">
        <v>49.0</v>
      </c>
      <c r="B50" s="129">
        <v>45945.0</v>
      </c>
      <c r="C50" s="130" t="s">
        <v>662</v>
      </c>
      <c r="D50" s="130" t="s">
        <v>663</v>
      </c>
      <c r="E50" s="131">
        <v>3327.0</v>
      </c>
      <c r="F50" s="131"/>
      <c r="G50" s="132" t="s">
        <v>664</v>
      </c>
      <c r="H50" s="132" t="s">
        <v>488</v>
      </c>
      <c r="I50" s="131"/>
      <c r="J50" s="131"/>
      <c r="K50" s="131" t="s">
        <v>567</v>
      </c>
      <c r="L50" s="133">
        <v>45863.0</v>
      </c>
      <c r="M50" s="134"/>
      <c r="N50" s="134"/>
      <c r="O50" s="134"/>
    </row>
    <row r="51" ht="22.5" customHeight="1">
      <c r="A51" s="119">
        <v>50.0</v>
      </c>
      <c r="B51" s="129">
        <v>45945.0</v>
      </c>
      <c r="C51" s="130" t="s">
        <v>662</v>
      </c>
      <c r="D51" s="130" t="s">
        <v>663</v>
      </c>
      <c r="E51" s="131">
        <v>3178.0</v>
      </c>
      <c r="F51" s="131"/>
      <c r="G51" s="132" t="s">
        <v>664</v>
      </c>
      <c r="H51" s="132" t="s">
        <v>488</v>
      </c>
      <c r="I51" s="131"/>
      <c r="J51" s="131"/>
      <c r="K51" s="131" t="s">
        <v>552</v>
      </c>
      <c r="L51" s="133">
        <v>45863.0</v>
      </c>
      <c r="M51" s="134"/>
      <c r="N51" s="134"/>
      <c r="O51" s="134"/>
    </row>
    <row r="52" ht="22.5" customHeight="1">
      <c r="A52" s="119">
        <v>51.0</v>
      </c>
      <c r="B52" s="129">
        <v>45945.0</v>
      </c>
      <c r="C52" s="130" t="s">
        <v>662</v>
      </c>
      <c r="D52" s="130" t="s">
        <v>663</v>
      </c>
      <c r="E52" s="131">
        <v>3395.0</v>
      </c>
      <c r="F52" s="131"/>
      <c r="G52" s="132" t="s">
        <v>664</v>
      </c>
      <c r="H52" s="132" t="s">
        <v>488</v>
      </c>
      <c r="I52" s="131"/>
      <c r="J52" s="131"/>
      <c r="K52" s="131" t="s">
        <v>567</v>
      </c>
      <c r="L52" s="133">
        <v>45863.0</v>
      </c>
      <c r="M52" s="134"/>
      <c r="N52" s="134"/>
      <c r="O52" s="134"/>
    </row>
    <row r="53" ht="22.5" customHeight="1">
      <c r="A53" s="119">
        <v>52.0</v>
      </c>
      <c r="B53" s="129">
        <v>45945.0</v>
      </c>
      <c r="C53" s="130" t="s">
        <v>662</v>
      </c>
      <c r="D53" s="130" t="s">
        <v>663</v>
      </c>
      <c r="E53" s="131">
        <v>3254.0</v>
      </c>
      <c r="F53" s="131"/>
      <c r="G53" s="132" t="s">
        <v>664</v>
      </c>
      <c r="H53" s="132" t="s">
        <v>488</v>
      </c>
      <c r="I53" s="131"/>
      <c r="J53" s="131"/>
      <c r="K53" s="131" t="s">
        <v>567</v>
      </c>
      <c r="L53" s="133">
        <v>45863.0</v>
      </c>
      <c r="M53" s="134"/>
      <c r="N53" s="134"/>
      <c r="O53" s="134"/>
    </row>
    <row r="54" ht="22.5" customHeight="1">
      <c r="A54" s="119">
        <v>53.0</v>
      </c>
      <c r="B54" s="129">
        <v>45945.0</v>
      </c>
      <c r="C54" s="130" t="s">
        <v>662</v>
      </c>
      <c r="D54" s="130" t="s">
        <v>663</v>
      </c>
      <c r="E54" s="131">
        <v>3286.0</v>
      </c>
      <c r="F54" s="131"/>
      <c r="G54" s="132" t="s">
        <v>664</v>
      </c>
      <c r="H54" s="132" t="s">
        <v>488</v>
      </c>
      <c r="I54" s="131"/>
      <c r="J54" s="131"/>
      <c r="K54" s="131" t="s">
        <v>552</v>
      </c>
      <c r="L54" s="133">
        <v>45863.0</v>
      </c>
      <c r="M54" s="134"/>
      <c r="N54" s="134"/>
      <c r="O54" s="134"/>
    </row>
    <row r="55" ht="22.5" customHeight="1">
      <c r="A55" s="119">
        <v>54.0</v>
      </c>
      <c r="B55" s="129">
        <v>45945.0</v>
      </c>
      <c r="C55" s="130" t="s">
        <v>662</v>
      </c>
      <c r="D55" s="130" t="s">
        <v>663</v>
      </c>
      <c r="E55" s="131">
        <v>3417.0</v>
      </c>
      <c r="F55" s="131"/>
      <c r="G55" s="132" t="s">
        <v>664</v>
      </c>
      <c r="H55" s="132" t="s">
        <v>488</v>
      </c>
      <c r="I55" s="131"/>
      <c r="J55" s="131"/>
      <c r="K55" s="131" t="s">
        <v>567</v>
      </c>
      <c r="L55" s="133">
        <v>45863.0</v>
      </c>
      <c r="M55" s="134"/>
      <c r="N55" s="134"/>
      <c r="O55" s="134"/>
    </row>
    <row r="56" ht="22.5" customHeight="1">
      <c r="A56" s="119">
        <v>55.0</v>
      </c>
      <c r="B56" s="129">
        <v>45945.0</v>
      </c>
      <c r="C56" s="130" t="s">
        <v>662</v>
      </c>
      <c r="D56" s="130" t="s">
        <v>663</v>
      </c>
      <c r="E56" s="131">
        <v>3212.0</v>
      </c>
      <c r="F56" s="131"/>
      <c r="G56" s="132" t="s">
        <v>664</v>
      </c>
      <c r="H56" s="132" t="s">
        <v>488</v>
      </c>
      <c r="I56" s="131"/>
      <c r="J56" s="131"/>
      <c r="K56" s="131" t="s">
        <v>552</v>
      </c>
      <c r="L56" s="133">
        <v>45863.0</v>
      </c>
      <c r="M56" s="134"/>
      <c r="N56" s="134"/>
      <c r="O56" s="134"/>
    </row>
    <row r="57" ht="22.5" customHeight="1">
      <c r="A57" s="119">
        <v>56.0</v>
      </c>
      <c r="B57" s="129">
        <v>45945.0</v>
      </c>
      <c r="C57" s="130" t="s">
        <v>662</v>
      </c>
      <c r="D57" s="130" t="s">
        <v>663</v>
      </c>
      <c r="E57" s="131">
        <v>652.0</v>
      </c>
      <c r="F57" s="131"/>
      <c r="G57" s="132" t="s">
        <v>664</v>
      </c>
      <c r="H57" s="132" t="s">
        <v>488</v>
      </c>
      <c r="I57" s="131"/>
      <c r="J57" s="131"/>
      <c r="K57" s="131" t="s">
        <v>567</v>
      </c>
      <c r="L57" s="133">
        <v>45863.0</v>
      </c>
      <c r="M57" s="134"/>
      <c r="N57" s="134"/>
      <c r="O57" s="134"/>
    </row>
    <row r="58" ht="22.5" customHeight="1">
      <c r="A58" s="119">
        <v>57.0</v>
      </c>
      <c r="B58" s="129">
        <v>45945.0</v>
      </c>
      <c r="C58" s="130" t="s">
        <v>662</v>
      </c>
      <c r="D58" s="130" t="s">
        <v>663</v>
      </c>
      <c r="E58" s="131">
        <v>1065.0</v>
      </c>
      <c r="F58" s="131"/>
      <c r="G58" s="132" t="s">
        <v>664</v>
      </c>
      <c r="H58" s="132" t="s">
        <v>488</v>
      </c>
      <c r="I58" s="131"/>
      <c r="J58" s="131"/>
      <c r="K58" s="131" t="s">
        <v>567</v>
      </c>
      <c r="L58" s="133">
        <v>45863.0</v>
      </c>
      <c r="M58" s="134"/>
      <c r="N58" s="134"/>
      <c r="O58" s="134"/>
    </row>
    <row r="59" ht="22.5" customHeight="1">
      <c r="A59" s="119">
        <v>58.0</v>
      </c>
      <c r="B59" s="129">
        <v>45945.0</v>
      </c>
      <c r="C59" s="130" t="s">
        <v>662</v>
      </c>
      <c r="D59" s="130" t="s">
        <v>663</v>
      </c>
      <c r="E59" s="131">
        <v>3450.0</v>
      </c>
      <c r="F59" s="131"/>
      <c r="G59" s="132" t="s">
        <v>664</v>
      </c>
      <c r="H59" s="132" t="s">
        <v>488</v>
      </c>
      <c r="I59" s="131"/>
      <c r="J59" s="131"/>
      <c r="K59" s="131" t="s">
        <v>567</v>
      </c>
      <c r="L59" s="133">
        <v>45863.0</v>
      </c>
      <c r="M59" s="134"/>
      <c r="N59" s="134"/>
      <c r="O59" s="134"/>
    </row>
    <row r="60" ht="22.5" customHeight="1">
      <c r="A60" s="119">
        <v>59.0</v>
      </c>
      <c r="B60" s="129">
        <v>45968.0</v>
      </c>
      <c r="C60" s="130" t="s">
        <v>656</v>
      </c>
      <c r="D60" s="130" t="s">
        <v>665</v>
      </c>
      <c r="E60" s="131">
        <v>400.0</v>
      </c>
      <c r="F60" s="131"/>
      <c r="G60" s="132" t="s">
        <v>666</v>
      </c>
      <c r="H60" s="132" t="s">
        <v>525</v>
      </c>
      <c r="I60" s="131"/>
      <c r="J60" s="131"/>
      <c r="K60" s="131"/>
      <c r="L60" s="133">
        <v>45894.0</v>
      </c>
      <c r="M60" s="134"/>
      <c r="N60" s="134"/>
      <c r="O60" s="134"/>
    </row>
    <row r="61" ht="22.5" customHeight="1">
      <c r="A61" s="119">
        <v>60.0</v>
      </c>
      <c r="B61" s="129">
        <v>45968.0</v>
      </c>
      <c r="C61" s="130" t="s">
        <v>656</v>
      </c>
      <c r="D61" s="130" t="s">
        <v>665</v>
      </c>
      <c r="E61" s="131">
        <v>407.0</v>
      </c>
      <c r="F61" s="131"/>
      <c r="G61" s="132" t="s">
        <v>666</v>
      </c>
      <c r="H61" s="132" t="s">
        <v>525</v>
      </c>
      <c r="I61" s="131"/>
      <c r="J61" s="131"/>
      <c r="K61" s="131"/>
      <c r="L61" s="133">
        <v>45894.0</v>
      </c>
      <c r="M61" s="134"/>
      <c r="N61" s="134"/>
      <c r="O61" s="134"/>
    </row>
    <row r="62" ht="22.5" customHeight="1">
      <c r="A62" s="119">
        <v>61.0</v>
      </c>
      <c r="B62" s="129">
        <v>45968.0</v>
      </c>
      <c r="C62" s="130" t="s">
        <v>656</v>
      </c>
      <c r="D62" s="130" t="s">
        <v>665</v>
      </c>
      <c r="E62" s="131">
        <v>404.0</v>
      </c>
      <c r="F62" s="131"/>
      <c r="G62" s="132" t="s">
        <v>666</v>
      </c>
      <c r="H62" s="132" t="s">
        <v>525</v>
      </c>
      <c r="I62" s="131"/>
      <c r="J62" s="131"/>
      <c r="K62" s="131"/>
      <c r="L62" s="133">
        <v>45894.0</v>
      </c>
      <c r="M62" s="134"/>
      <c r="N62" s="134"/>
      <c r="O62" s="134"/>
    </row>
    <row r="63" ht="22.5" customHeight="1">
      <c r="A63" s="119">
        <v>62.0</v>
      </c>
      <c r="B63" s="129">
        <v>45968.0</v>
      </c>
      <c r="C63" s="130" t="s">
        <v>656</v>
      </c>
      <c r="D63" s="130" t="s">
        <v>665</v>
      </c>
      <c r="E63" s="131">
        <v>343.0</v>
      </c>
      <c r="F63" s="131"/>
      <c r="G63" s="132" t="s">
        <v>666</v>
      </c>
      <c r="H63" s="132" t="s">
        <v>525</v>
      </c>
      <c r="I63" s="131"/>
      <c r="J63" s="131"/>
      <c r="K63" s="131"/>
      <c r="L63" s="133">
        <v>45894.0</v>
      </c>
      <c r="M63" s="134"/>
      <c r="N63" s="134"/>
      <c r="O63" s="134"/>
    </row>
    <row r="64" ht="22.5" customHeight="1">
      <c r="A64" s="119">
        <v>63.0</v>
      </c>
      <c r="B64" s="129">
        <v>45968.0</v>
      </c>
      <c r="C64" s="130" t="s">
        <v>656</v>
      </c>
      <c r="D64" s="130" t="s">
        <v>665</v>
      </c>
      <c r="E64" s="131">
        <v>482.0</v>
      </c>
      <c r="F64" s="131"/>
      <c r="G64" s="132" t="s">
        <v>666</v>
      </c>
      <c r="H64" s="132" t="s">
        <v>525</v>
      </c>
      <c r="I64" s="131"/>
      <c r="J64" s="131"/>
      <c r="K64" s="131"/>
      <c r="L64" s="133">
        <v>45894.0</v>
      </c>
      <c r="M64" s="134"/>
      <c r="N64" s="134"/>
      <c r="O64" s="134"/>
    </row>
    <row r="65" ht="22.5" customHeight="1">
      <c r="A65" s="119">
        <v>64.0</v>
      </c>
      <c r="B65" s="129">
        <v>45968.0</v>
      </c>
      <c r="C65" s="130" t="s">
        <v>656</v>
      </c>
      <c r="D65" s="130" t="s">
        <v>665</v>
      </c>
      <c r="E65" s="131">
        <v>452.0</v>
      </c>
      <c r="F65" s="131"/>
      <c r="G65" s="132" t="s">
        <v>666</v>
      </c>
      <c r="H65" s="132" t="s">
        <v>525</v>
      </c>
      <c r="I65" s="131"/>
      <c r="J65" s="131"/>
      <c r="K65" s="131"/>
      <c r="L65" s="133">
        <v>45894.0</v>
      </c>
      <c r="M65" s="134"/>
      <c r="N65" s="134"/>
      <c r="O65" s="134"/>
    </row>
    <row r="66" ht="22.5" customHeight="1">
      <c r="A66" s="119">
        <v>65.0</v>
      </c>
      <c r="B66" s="129">
        <v>45968.0</v>
      </c>
      <c r="C66" s="130" t="s">
        <v>656</v>
      </c>
      <c r="D66" s="130" t="s">
        <v>665</v>
      </c>
      <c r="E66" s="131">
        <v>481.0</v>
      </c>
      <c r="F66" s="131"/>
      <c r="G66" s="132" t="s">
        <v>666</v>
      </c>
      <c r="H66" s="132" t="s">
        <v>525</v>
      </c>
      <c r="I66" s="131"/>
      <c r="J66" s="131"/>
      <c r="K66" s="131"/>
      <c r="L66" s="133">
        <v>45894.0</v>
      </c>
      <c r="M66" s="134"/>
      <c r="N66" s="134"/>
      <c r="O66" s="134"/>
    </row>
    <row r="67" ht="22.5" customHeight="1">
      <c r="A67" s="119">
        <v>66.0</v>
      </c>
      <c r="B67" s="129">
        <v>45968.0</v>
      </c>
      <c r="C67" s="130" t="s">
        <v>656</v>
      </c>
      <c r="D67" s="130" t="s">
        <v>665</v>
      </c>
      <c r="E67" s="131">
        <v>401.0</v>
      </c>
      <c r="F67" s="131"/>
      <c r="G67" s="132" t="s">
        <v>667</v>
      </c>
      <c r="H67" s="132" t="s">
        <v>668</v>
      </c>
      <c r="I67" s="131"/>
      <c r="J67" s="131"/>
      <c r="K67" s="131"/>
      <c r="L67" s="133">
        <v>45894.0</v>
      </c>
      <c r="M67" s="134"/>
      <c r="N67" s="134"/>
      <c r="O67" s="134"/>
    </row>
    <row r="68" ht="22.5" customHeight="1">
      <c r="A68" s="119">
        <v>67.0</v>
      </c>
      <c r="B68" s="129">
        <v>45968.0</v>
      </c>
      <c r="C68" s="130" t="s">
        <v>656</v>
      </c>
      <c r="D68" s="130" t="s">
        <v>665</v>
      </c>
      <c r="E68" s="131">
        <v>352.0</v>
      </c>
      <c r="F68" s="131"/>
      <c r="G68" s="132" t="s">
        <v>667</v>
      </c>
      <c r="H68" s="132" t="s">
        <v>668</v>
      </c>
      <c r="I68" s="131"/>
      <c r="J68" s="131"/>
      <c r="K68" s="131"/>
      <c r="L68" s="133">
        <v>45894.0</v>
      </c>
      <c r="M68" s="134"/>
      <c r="N68" s="134"/>
      <c r="O68" s="134"/>
    </row>
    <row r="69" ht="22.5" customHeight="1">
      <c r="A69" s="119">
        <v>68.0</v>
      </c>
      <c r="B69" s="129">
        <v>45968.0</v>
      </c>
      <c r="C69" s="130" t="s">
        <v>656</v>
      </c>
      <c r="D69" s="130" t="s">
        <v>665</v>
      </c>
      <c r="E69" s="131">
        <v>511.0</v>
      </c>
      <c r="F69" s="131"/>
      <c r="G69" s="132" t="s">
        <v>667</v>
      </c>
      <c r="H69" s="132" t="s">
        <v>668</v>
      </c>
      <c r="I69" s="131"/>
      <c r="J69" s="131"/>
      <c r="K69" s="131"/>
      <c r="L69" s="133">
        <v>45894.0</v>
      </c>
      <c r="M69" s="134"/>
      <c r="N69" s="134"/>
      <c r="O69" s="134"/>
    </row>
    <row r="70" ht="22.5" customHeight="1">
      <c r="A70" s="119">
        <v>69.0</v>
      </c>
      <c r="B70" s="129">
        <v>45968.0</v>
      </c>
      <c r="C70" s="130" t="s">
        <v>656</v>
      </c>
      <c r="D70" s="130" t="s">
        <v>665</v>
      </c>
      <c r="E70" s="131">
        <v>491.0</v>
      </c>
      <c r="F70" s="131"/>
      <c r="G70" s="132" t="s">
        <v>667</v>
      </c>
      <c r="H70" s="132" t="s">
        <v>668</v>
      </c>
      <c r="I70" s="131"/>
      <c r="J70" s="131"/>
      <c r="K70" s="131"/>
      <c r="L70" s="133">
        <v>45894.0</v>
      </c>
      <c r="M70" s="134"/>
      <c r="N70" s="134"/>
      <c r="O70" s="134"/>
    </row>
    <row r="71" ht="22.5" customHeight="1">
      <c r="A71" s="119">
        <v>70.0</v>
      </c>
      <c r="B71" s="129">
        <v>45968.0</v>
      </c>
      <c r="C71" s="130" t="s">
        <v>656</v>
      </c>
      <c r="D71" s="130" t="s">
        <v>665</v>
      </c>
      <c r="E71" s="131">
        <v>334.0</v>
      </c>
      <c r="F71" s="131"/>
      <c r="G71" s="132" t="s">
        <v>667</v>
      </c>
      <c r="H71" s="132" t="s">
        <v>668</v>
      </c>
      <c r="I71" s="131"/>
      <c r="J71" s="131"/>
      <c r="K71" s="131"/>
      <c r="L71" s="133">
        <v>45894.0</v>
      </c>
      <c r="M71" s="134"/>
      <c r="N71" s="134"/>
      <c r="O71" s="134"/>
    </row>
    <row r="72" ht="22.5" customHeight="1">
      <c r="A72" s="119">
        <v>71.0</v>
      </c>
      <c r="B72" s="129">
        <v>45968.0</v>
      </c>
      <c r="C72" s="130" t="s">
        <v>656</v>
      </c>
      <c r="D72" s="130" t="s">
        <v>665</v>
      </c>
      <c r="E72" s="131">
        <v>395.0</v>
      </c>
      <c r="F72" s="131"/>
      <c r="G72" s="132" t="s">
        <v>667</v>
      </c>
      <c r="H72" s="132" t="s">
        <v>668</v>
      </c>
      <c r="I72" s="131"/>
      <c r="J72" s="131"/>
      <c r="K72" s="131"/>
      <c r="L72" s="133">
        <v>45894.0</v>
      </c>
      <c r="M72" s="134"/>
      <c r="N72" s="134"/>
      <c r="O72" s="134"/>
    </row>
    <row r="73" ht="22.5" customHeight="1">
      <c r="A73" s="119">
        <v>72.0</v>
      </c>
      <c r="B73" s="129">
        <v>45945.0</v>
      </c>
      <c r="C73" s="130" t="s">
        <v>662</v>
      </c>
      <c r="D73" s="130" t="s">
        <v>663</v>
      </c>
      <c r="E73" s="131">
        <v>3477.0</v>
      </c>
      <c r="F73" s="131"/>
      <c r="G73" s="132" t="s">
        <v>669</v>
      </c>
      <c r="H73" s="132" t="s">
        <v>488</v>
      </c>
      <c r="I73" s="131"/>
      <c r="J73" s="131"/>
      <c r="K73" s="131" t="s">
        <v>552</v>
      </c>
      <c r="L73" s="133">
        <v>45863.0</v>
      </c>
      <c r="M73" s="134"/>
      <c r="N73" s="134"/>
      <c r="O73" s="134"/>
    </row>
    <row r="74" ht="22.5" customHeight="1">
      <c r="A74" s="119">
        <v>73.0</v>
      </c>
      <c r="B74" s="129">
        <v>45945.0</v>
      </c>
      <c r="C74" s="130" t="s">
        <v>662</v>
      </c>
      <c r="D74" s="130" t="s">
        <v>663</v>
      </c>
      <c r="E74" s="131">
        <v>3198.0</v>
      </c>
      <c r="F74" s="131"/>
      <c r="G74" s="132" t="s">
        <v>669</v>
      </c>
      <c r="H74" s="132" t="s">
        <v>488</v>
      </c>
      <c r="I74" s="131"/>
      <c r="J74" s="131"/>
      <c r="K74" s="131" t="s">
        <v>552</v>
      </c>
      <c r="L74" s="133">
        <v>45863.0</v>
      </c>
      <c r="M74" s="134"/>
      <c r="N74" s="134"/>
      <c r="O74" s="134"/>
    </row>
    <row r="75" ht="22.5" customHeight="1">
      <c r="A75" s="119">
        <v>74.0</v>
      </c>
      <c r="B75" s="129">
        <v>45945.0</v>
      </c>
      <c r="C75" s="130" t="s">
        <v>662</v>
      </c>
      <c r="D75" s="130" t="s">
        <v>663</v>
      </c>
      <c r="E75" s="131">
        <v>3159.0</v>
      </c>
      <c r="F75" s="131"/>
      <c r="G75" s="132" t="s">
        <v>669</v>
      </c>
      <c r="H75" s="132" t="s">
        <v>488</v>
      </c>
      <c r="I75" s="131"/>
      <c r="J75" s="131"/>
      <c r="K75" s="131" t="s">
        <v>552</v>
      </c>
      <c r="L75" s="133">
        <v>45863.0</v>
      </c>
      <c r="M75" s="134"/>
      <c r="N75" s="134"/>
      <c r="O75" s="134"/>
    </row>
    <row r="76" ht="22.5" customHeight="1">
      <c r="A76" s="119">
        <v>75.0</v>
      </c>
      <c r="B76" s="129">
        <v>45945.0</v>
      </c>
      <c r="C76" s="130" t="s">
        <v>662</v>
      </c>
      <c r="D76" s="130" t="s">
        <v>663</v>
      </c>
      <c r="E76" s="131" t="s">
        <v>670</v>
      </c>
      <c r="F76" s="131"/>
      <c r="G76" s="132" t="s">
        <v>669</v>
      </c>
      <c r="H76" s="132" t="s">
        <v>488</v>
      </c>
      <c r="I76" s="131"/>
      <c r="J76" s="131"/>
      <c r="K76" s="131" t="s">
        <v>552</v>
      </c>
      <c r="L76" s="133">
        <v>45863.0</v>
      </c>
      <c r="M76" s="134"/>
      <c r="N76" s="134"/>
      <c r="O76" s="134"/>
    </row>
    <row r="77" ht="22.5" customHeight="1">
      <c r="A77" s="119">
        <v>76.0</v>
      </c>
      <c r="B77" s="129">
        <v>45945.0</v>
      </c>
      <c r="C77" s="130" t="s">
        <v>662</v>
      </c>
      <c r="D77" s="130" t="s">
        <v>663</v>
      </c>
      <c r="E77" s="131">
        <v>3248.0</v>
      </c>
      <c r="F77" s="131"/>
      <c r="G77" s="132" t="s">
        <v>669</v>
      </c>
      <c r="H77" s="132" t="s">
        <v>488</v>
      </c>
      <c r="I77" s="131"/>
      <c r="J77" s="131"/>
      <c r="K77" s="131" t="s">
        <v>552</v>
      </c>
      <c r="L77" s="133">
        <v>45863.0</v>
      </c>
      <c r="M77" s="134"/>
      <c r="N77" s="134"/>
      <c r="O77" s="134"/>
    </row>
    <row r="78" ht="22.5" customHeight="1">
      <c r="A78" s="119">
        <v>77.0</v>
      </c>
      <c r="B78" s="129">
        <v>45945.0</v>
      </c>
      <c r="C78" s="130" t="s">
        <v>662</v>
      </c>
      <c r="D78" s="130" t="s">
        <v>663</v>
      </c>
      <c r="E78" s="131">
        <v>3261.0</v>
      </c>
      <c r="F78" s="131"/>
      <c r="G78" s="132" t="s">
        <v>669</v>
      </c>
      <c r="H78" s="132" t="s">
        <v>488</v>
      </c>
      <c r="I78" s="131"/>
      <c r="J78" s="131"/>
      <c r="K78" s="131" t="s">
        <v>552</v>
      </c>
      <c r="L78" s="133">
        <v>45863.0</v>
      </c>
      <c r="M78" s="134"/>
      <c r="N78" s="134"/>
      <c r="O78" s="134"/>
    </row>
    <row r="79" ht="22.5" customHeight="1">
      <c r="A79" s="119">
        <v>78.0</v>
      </c>
      <c r="B79" s="129">
        <v>45945.0</v>
      </c>
      <c r="C79" s="130" t="s">
        <v>662</v>
      </c>
      <c r="D79" s="130" t="s">
        <v>663</v>
      </c>
      <c r="E79" s="131">
        <v>1339.0</v>
      </c>
      <c r="F79" s="131"/>
      <c r="G79" s="132" t="s">
        <v>669</v>
      </c>
      <c r="H79" s="132" t="s">
        <v>488</v>
      </c>
      <c r="I79" s="131"/>
      <c r="J79" s="131"/>
      <c r="K79" s="131" t="s">
        <v>552</v>
      </c>
      <c r="L79" s="133">
        <v>45863.0</v>
      </c>
      <c r="M79" s="134"/>
      <c r="N79" s="134"/>
      <c r="O79" s="134"/>
    </row>
    <row r="80" ht="22.5" customHeight="1">
      <c r="A80" s="119">
        <v>79.0</v>
      </c>
      <c r="B80" s="129">
        <v>45945.0</v>
      </c>
      <c r="C80" s="130" t="s">
        <v>662</v>
      </c>
      <c r="D80" s="130" t="s">
        <v>663</v>
      </c>
      <c r="E80" s="131">
        <v>163.0</v>
      </c>
      <c r="F80" s="131"/>
      <c r="G80" s="132" t="s">
        <v>669</v>
      </c>
      <c r="H80" s="132" t="s">
        <v>488</v>
      </c>
      <c r="I80" s="131"/>
      <c r="J80" s="131"/>
      <c r="K80" s="131" t="s">
        <v>552</v>
      </c>
      <c r="L80" s="133">
        <v>45863.0</v>
      </c>
      <c r="M80" s="134"/>
      <c r="N80" s="134"/>
      <c r="O80" s="134"/>
    </row>
    <row r="81" ht="22.5" customHeight="1">
      <c r="A81" s="119">
        <v>80.0</v>
      </c>
      <c r="B81" s="129">
        <v>45945.0</v>
      </c>
      <c r="C81" s="130" t="s">
        <v>662</v>
      </c>
      <c r="D81" s="130" t="s">
        <v>663</v>
      </c>
      <c r="E81" s="131" t="s">
        <v>671</v>
      </c>
      <c r="F81" s="131"/>
      <c r="G81" s="132" t="s">
        <v>669</v>
      </c>
      <c r="H81" s="132" t="s">
        <v>488</v>
      </c>
      <c r="I81" s="131"/>
      <c r="J81" s="131"/>
      <c r="K81" s="131" t="s">
        <v>567</v>
      </c>
      <c r="L81" s="133">
        <v>45863.0</v>
      </c>
      <c r="M81" s="134"/>
      <c r="N81" s="134"/>
      <c r="O81" s="134"/>
    </row>
    <row r="82" ht="22.5" customHeight="1">
      <c r="A82" s="119">
        <v>81.0</v>
      </c>
      <c r="B82" s="129">
        <v>45945.0</v>
      </c>
      <c r="C82" s="130" t="s">
        <v>662</v>
      </c>
      <c r="D82" s="130" t="s">
        <v>663</v>
      </c>
      <c r="E82" s="131">
        <v>3424.0</v>
      </c>
      <c r="F82" s="131"/>
      <c r="G82" s="132" t="s">
        <v>669</v>
      </c>
      <c r="H82" s="132" t="s">
        <v>488</v>
      </c>
      <c r="I82" s="131"/>
      <c r="J82" s="131"/>
      <c r="K82" s="131" t="s">
        <v>567</v>
      </c>
      <c r="L82" s="133">
        <v>45863.0</v>
      </c>
      <c r="M82" s="134"/>
      <c r="N82" s="134"/>
      <c r="O82" s="134"/>
    </row>
    <row r="83" ht="22.5" customHeight="1">
      <c r="A83" s="119">
        <v>82.0</v>
      </c>
      <c r="B83" s="129">
        <v>45945.0</v>
      </c>
      <c r="C83" s="130" t="s">
        <v>662</v>
      </c>
      <c r="D83" s="130" t="s">
        <v>663</v>
      </c>
      <c r="E83" s="131">
        <v>957.0</v>
      </c>
      <c r="F83" s="131"/>
      <c r="G83" s="132" t="s">
        <v>669</v>
      </c>
      <c r="H83" s="132" t="s">
        <v>488</v>
      </c>
      <c r="I83" s="131"/>
      <c r="J83" s="131"/>
      <c r="K83" s="131" t="s">
        <v>567</v>
      </c>
      <c r="L83" s="133">
        <v>45863.0</v>
      </c>
      <c r="M83" s="134"/>
      <c r="N83" s="134"/>
      <c r="O83" s="134"/>
    </row>
    <row r="84" ht="22.5" customHeight="1">
      <c r="A84" s="119">
        <v>83.0</v>
      </c>
      <c r="B84" s="129">
        <v>45945.0</v>
      </c>
      <c r="C84" s="130" t="s">
        <v>662</v>
      </c>
      <c r="D84" s="130" t="s">
        <v>663</v>
      </c>
      <c r="E84" s="131">
        <v>3137.0</v>
      </c>
      <c r="F84" s="131"/>
      <c r="G84" s="132" t="s">
        <v>669</v>
      </c>
      <c r="H84" s="132" t="s">
        <v>488</v>
      </c>
      <c r="I84" s="131"/>
      <c r="J84" s="131"/>
      <c r="K84" s="131" t="s">
        <v>567</v>
      </c>
      <c r="L84" s="133">
        <v>45863.0</v>
      </c>
      <c r="M84" s="134"/>
      <c r="N84" s="134"/>
      <c r="O84" s="134"/>
    </row>
    <row r="85" ht="22.5" customHeight="1">
      <c r="A85" s="119">
        <v>84.0</v>
      </c>
      <c r="B85" s="129">
        <v>45945.0</v>
      </c>
      <c r="C85" s="130" t="s">
        <v>662</v>
      </c>
      <c r="D85" s="130" t="s">
        <v>663</v>
      </c>
      <c r="E85" s="131">
        <v>3435.0</v>
      </c>
      <c r="F85" s="131"/>
      <c r="G85" s="132" t="s">
        <v>669</v>
      </c>
      <c r="H85" s="132" t="s">
        <v>488</v>
      </c>
      <c r="I85" s="131"/>
      <c r="J85" s="131"/>
      <c r="K85" s="131" t="s">
        <v>567</v>
      </c>
      <c r="L85" s="133">
        <v>45863.0</v>
      </c>
      <c r="M85" s="134"/>
      <c r="N85" s="134"/>
      <c r="O85" s="134"/>
    </row>
    <row r="86" ht="22.5" customHeight="1">
      <c r="A86" s="119">
        <v>85.0</v>
      </c>
      <c r="B86" s="129">
        <v>45945.0</v>
      </c>
      <c r="C86" s="130" t="s">
        <v>662</v>
      </c>
      <c r="D86" s="130" t="s">
        <v>663</v>
      </c>
      <c r="E86" s="131">
        <v>952.0</v>
      </c>
      <c r="F86" s="131"/>
      <c r="G86" s="132" t="s">
        <v>669</v>
      </c>
      <c r="H86" s="132" t="s">
        <v>488</v>
      </c>
      <c r="I86" s="131"/>
      <c r="J86" s="131"/>
      <c r="K86" s="131" t="s">
        <v>567</v>
      </c>
      <c r="L86" s="133">
        <v>45863.0</v>
      </c>
      <c r="M86" s="134"/>
      <c r="N86" s="134"/>
      <c r="O86" s="134"/>
    </row>
    <row r="87" ht="22.5" customHeight="1">
      <c r="A87" s="119">
        <v>86.0</v>
      </c>
      <c r="B87" s="129">
        <v>45945.0</v>
      </c>
      <c r="C87" s="130" t="s">
        <v>662</v>
      </c>
      <c r="D87" s="130" t="s">
        <v>663</v>
      </c>
      <c r="E87" s="131">
        <v>3113.0</v>
      </c>
      <c r="F87" s="131"/>
      <c r="G87" s="132" t="s">
        <v>669</v>
      </c>
      <c r="H87" s="132" t="s">
        <v>488</v>
      </c>
      <c r="I87" s="131"/>
      <c r="J87" s="131"/>
      <c r="K87" s="131" t="s">
        <v>567</v>
      </c>
      <c r="L87" s="133">
        <v>45863.0</v>
      </c>
      <c r="M87" s="134"/>
      <c r="N87" s="134"/>
      <c r="O87" s="134"/>
    </row>
    <row r="88" ht="22.5" customHeight="1">
      <c r="A88" s="119">
        <v>87.0</v>
      </c>
      <c r="B88" s="129">
        <v>46058.0</v>
      </c>
      <c r="C88" s="130" t="s">
        <v>554</v>
      </c>
      <c r="D88" s="130" t="s">
        <v>583</v>
      </c>
      <c r="E88" s="135" t="s">
        <v>238</v>
      </c>
      <c r="F88" s="131"/>
      <c r="G88" s="136" t="s">
        <v>672</v>
      </c>
      <c r="H88" s="136" t="s">
        <v>224</v>
      </c>
      <c r="I88" s="131"/>
      <c r="J88" s="131"/>
      <c r="K88" s="131"/>
      <c r="L88" s="133">
        <v>46344.0</v>
      </c>
      <c r="M88" s="134"/>
      <c r="N88" s="134"/>
      <c r="O88" s="134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22.5" customHeight="1">
      <c r="A89" s="119">
        <v>88.0</v>
      </c>
      <c r="B89" s="129">
        <v>46058.0</v>
      </c>
      <c r="C89" s="130" t="s">
        <v>554</v>
      </c>
      <c r="D89" s="130" t="s">
        <v>583</v>
      </c>
      <c r="E89" s="135" t="s">
        <v>246</v>
      </c>
      <c r="F89" s="131"/>
      <c r="G89" s="136" t="s">
        <v>673</v>
      </c>
      <c r="H89" s="136" t="s">
        <v>674</v>
      </c>
      <c r="I89" s="131"/>
      <c r="J89" s="131"/>
      <c r="K89" s="131"/>
      <c r="L89" s="133">
        <v>46344.0</v>
      </c>
      <c r="M89" s="134"/>
      <c r="N89" s="134"/>
      <c r="O89" s="134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22.5" customHeight="1">
      <c r="A90" s="119">
        <v>89.0</v>
      </c>
      <c r="B90" s="129">
        <v>46058.0</v>
      </c>
      <c r="C90" s="130" t="s">
        <v>554</v>
      </c>
      <c r="D90" s="130" t="s">
        <v>583</v>
      </c>
      <c r="E90" s="135" t="s">
        <v>252</v>
      </c>
      <c r="F90" s="131"/>
      <c r="G90" s="137" t="s">
        <v>675</v>
      </c>
      <c r="H90" s="136" t="s">
        <v>674</v>
      </c>
      <c r="I90" s="131"/>
      <c r="J90" s="131"/>
      <c r="K90" s="131"/>
      <c r="L90" s="133">
        <v>46344.0</v>
      </c>
      <c r="M90" s="134"/>
      <c r="N90" s="134"/>
      <c r="O90" s="134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22.5" customHeight="1">
      <c r="A91" s="119">
        <v>90.0</v>
      </c>
      <c r="B91" s="129">
        <v>46058.0</v>
      </c>
      <c r="C91" s="130" t="s">
        <v>554</v>
      </c>
      <c r="D91" s="130" t="s">
        <v>583</v>
      </c>
      <c r="E91" s="135" t="s">
        <v>254</v>
      </c>
      <c r="F91" s="131"/>
      <c r="G91" s="136" t="s">
        <v>676</v>
      </c>
      <c r="H91" s="136" t="s">
        <v>224</v>
      </c>
      <c r="I91" s="131"/>
      <c r="J91" s="131"/>
      <c r="K91" s="131"/>
      <c r="L91" s="133">
        <v>46344.0</v>
      </c>
      <c r="M91" s="134"/>
      <c r="N91" s="134"/>
      <c r="O91" s="134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22.5" customHeight="1">
      <c r="A92" s="119">
        <v>91.0</v>
      </c>
      <c r="B92" s="129">
        <v>46058.0</v>
      </c>
      <c r="C92" s="130" t="s">
        <v>554</v>
      </c>
      <c r="D92" s="130" t="s">
        <v>583</v>
      </c>
      <c r="E92" s="135" t="s">
        <v>257</v>
      </c>
      <c r="F92" s="131"/>
      <c r="G92" s="137" t="s">
        <v>675</v>
      </c>
      <c r="H92" s="136" t="s">
        <v>674</v>
      </c>
      <c r="I92" s="131"/>
      <c r="J92" s="131"/>
      <c r="K92" s="131"/>
      <c r="L92" s="133">
        <v>46344.0</v>
      </c>
      <c r="M92" s="134"/>
      <c r="N92" s="134"/>
      <c r="O92" s="134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22.5" customHeight="1">
      <c r="A93" s="119">
        <v>92.0</v>
      </c>
      <c r="B93" s="129">
        <v>46058.0</v>
      </c>
      <c r="C93" s="130" t="s">
        <v>554</v>
      </c>
      <c r="D93" s="130" t="s">
        <v>583</v>
      </c>
      <c r="E93" s="135" t="s">
        <v>259</v>
      </c>
      <c r="F93" s="131"/>
      <c r="G93" s="137" t="s">
        <v>675</v>
      </c>
      <c r="H93" s="136" t="s">
        <v>674</v>
      </c>
      <c r="I93" s="131"/>
      <c r="J93" s="131"/>
      <c r="K93" s="131"/>
      <c r="L93" s="133">
        <v>46344.0</v>
      </c>
      <c r="M93" s="134"/>
      <c r="N93" s="134"/>
      <c r="O93" s="134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22.5" customHeight="1">
      <c r="A94" s="119">
        <v>93.0</v>
      </c>
      <c r="B94" s="129">
        <v>46058.0</v>
      </c>
      <c r="C94" s="130" t="s">
        <v>554</v>
      </c>
      <c r="D94" s="130" t="s">
        <v>583</v>
      </c>
      <c r="E94" s="135" t="s">
        <v>262</v>
      </c>
      <c r="F94" s="131"/>
      <c r="G94" s="137" t="s">
        <v>675</v>
      </c>
      <c r="H94" s="136" t="s">
        <v>674</v>
      </c>
      <c r="I94" s="131"/>
      <c r="J94" s="131"/>
      <c r="K94" s="131"/>
      <c r="L94" s="133">
        <v>46344.0</v>
      </c>
      <c r="M94" s="134"/>
      <c r="N94" s="134"/>
      <c r="O94" s="134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22.5" customHeight="1">
      <c r="A95" s="119">
        <v>94.0</v>
      </c>
      <c r="B95" s="129">
        <v>46058.0</v>
      </c>
      <c r="C95" s="130" t="s">
        <v>554</v>
      </c>
      <c r="D95" s="130" t="s">
        <v>583</v>
      </c>
      <c r="E95" s="135" t="s">
        <v>270</v>
      </c>
      <c r="F95" s="131"/>
      <c r="G95" s="136" t="s">
        <v>672</v>
      </c>
      <c r="H95" s="136" t="s">
        <v>224</v>
      </c>
      <c r="I95" s="131"/>
      <c r="J95" s="131"/>
      <c r="K95" s="131"/>
      <c r="L95" s="133">
        <v>46344.0</v>
      </c>
      <c r="M95" s="134"/>
      <c r="N95" s="134"/>
      <c r="O95" s="134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22.5" customHeight="1">
      <c r="A96" s="119">
        <v>95.0</v>
      </c>
      <c r="B96" s="129">
        <v>46058.0</v>
      </c>
      <c r="C96" s="130" t="s">
        <v>554</v>
      </c>
      <c r="D96" s="130" t="s">
        <v>583</v>
      </c>
      <c r="E96" s="135" t="s">
        <v>272</v>
      </c>
      <c r="F96" s="131"/>
      <c r="G96" s="136" t="s">
        <v>655</v>
      </c>
      <c r="H96" s="136" t="s">
        <v>224</v>
      </c>
      <c r="I96" s="131"/>
      <c r="J96" s="131"/>
      <c r="K96" s="131"/>
      <c r="L96" s="133">
        <v>46344.0</v>
      </c>
      <c r="M96" s="134"/>
      <c r="N96" s="134"/>
      <c r="O96" s="134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22.5" customHeight="1">
      <c r="A97" s="119">
        <v>96.0</v>
      </c>
      <c r="B97" s="129">
        <v>46058.0</v>
      </c>
      <c r="C97" s="130" t="s">
        <v>554</v>
      </c>
      <c r="D97" s="130" t="s">
        <v>583</v>
      </c>
      <c r="E97" s="135" t="s">
        <v>305</v>
      </c>
      <c r="F97" s="131"/>
      <c r="G97" s="136" t="s">
        <v>673</v>
      </c>
      <c r="H97" s="136" t="s">
        <v>674</v>
      </c>
      <c r="I97" s="131"/>
      <c r="J97" s="131"/>
      <c r="K97" s="131"/>
      <c r="L97" s="133">
        <v>46344.0</v>
      </c>
      <c r="M97" s="134"/>
      <c r="N97" s="134"/>
      <c r="O97" s="134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22.5" customHeight="1">
      <c r="A98" s="119">
        <v>97.0</v>
      </c>
      <c r="B98" s="129">
        <v>46058.0</v>
      </c>
      <c r="C98" s="130" t="s">
        <v>554</v>
      </c>
      <c r="D98" s="130" t="s">
        <v>583</v>
      </c>
      <c r="E98" s="135" t="s">
        <v>325</v>
      </c>
      <c r="F98" s="131"/>
      <c r="G98" s="137" t="s">
        <v>675</v>
      </c>
      <c r="H98" s="136" t="s">
        <v>674</v>
      </c>
      <c r="I98" s="131"/>
      <c r="J98" s="131"/>
      <c r="K98" s="131"/>
      <c r="L98" s="133">
        <v>46344.0</v>
      </c>
      <c r="M98" s="134"/>
      <c r="N98" s="134"/>
      <c r="O98" s="134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22.5" customHeight="1">
      <c r="A99" s="119">
        <v>98.0</v>
      </c>
      <c r="B99" s="129">
        <v>46058.0</v>
      </c>
      <c r="C99" s="130" t="s">
        <v>554</v>
      </c>
      <c r="D99" s="130" t="s">
        <v>583</v>
      </c>
      <c r="E99" s="135" t="s">
        <v>336</v>
      </c>
      <c r="F99" s="131"/>
      <c r="G99" s="137" t="s">
        <v>675</v>
      </c>
      <c r="H99" s="136" t="s">
        <v>674</v>
      </c>
      <c r="I99" s="131"/>
      <c r="J99" s="131"/>
      <c r="K99" s="131"/>
      <c r="L99" s="133">
        <v>46344.0</v>
      </c>
      <c r="M99" s="134"/>
      <c r="N99" s="134"/>
      <c r="O99" s="134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22.5" customHeight="1">
      <c r="A100" s="119">
        <v>99.0</v>
      </c>
      <c r="B100" s="129">
        <v>46058.0</v>
      </c>
      <c r="C100" s="130" t="s">
        <v>554</v>
      </c>
      <c r="D100" s="130" t="s">
        <v>583</v>
      </c>
      <c r="E100" s="135" t="s">
        <v>338</v>
      </c>
      <c r="F100" s="131"/>
      <c r="G100" s="137" t="s">
        <v>675</v>
      </c>
      <c r="H100" s="136" t="s">
        <v>674</v>
      </c>
      <c r="I100" s="131"/>
      <c r="J100" s="131"/>
      <c r="K100" s="131"/>
      <c r="L100" s="133">
        <v>46344.0</v>
      </c>
      <c r="M100" s="134"/>
      <c r="N100" s="134"/>
      <c r="O100" s="134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22.5" customHeight="1">
      <c r="A101" s="119">
        <v>100.0</v>
      </c>
      <c r="B101" s="129">
        <v>46058.0</v>
      </c>
      <c r="C101" s="130" t="s">
        <v>554</v>
      </c>
      <c r="D101" s="130" t="s">
        <v>583</v>
      </c>
      <c r="E101" s="135" t="s">
        <v>353</v>
      </c>
      <c r="F101" s="131"/>
      <c r="G101" s="137" t="s">
        <v>675</v>
      </c>
      <c r="H101" s="136" t="s">
        <v>674</v>
      </c>
      <c r="I101" s="131"/>
      <c r="J101" s="131"/>
      <c r="K101" s="131"/>
      <c r="L101" s="133">
        <v>46344.0</v>
      </c>
      <c r="M101" s="134"/>
      <c r="N101" s="134"/>
      <c r="O101" s="134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22.5" customHeight="1">
      <c r="A102" s="119">
        <v>101.0</v>
      </c>
      <c r="B102" s="129">
        <v>46058.0</v>
      </c>
      <c r="C102" s="130" t="s">
        <v>554</v>
      </c>
      <c r="D102" s="130" t="s">
        <v>583</v>
      </c>
      <c r="E102" s="135" t="s">
        <v>382</v>
      </c>
      <c r="F102" s="131"/>
      <c r="G102" s="137" t="s">
        <v>675</v>
      </c>
      <c r="H102" s="136" t="s">
        <v>674</v>
      </c>
      <c r="I102" s="131"/>
      <c r="J102" s="131"/>
      <c r="K102" s="131"/>
      <c r="L102" s="133">
        <v>46344.0</v>
      </c>
      <c r="M102" s="134"/>
      <c r="N102" s="134"/>
      <c r="O102" s="134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22.5" customHeight="1">
      <c r="A103" s="119">
        <v>102.0</v>
      </c>
      <c r="B103" s="129">
        <v>46058.0</v>
      </c>
      <c r="C103" s="130" t="s">
        <v>554</v>
      </c>
      <c r="D103" s="130" t="s">
        <v>583</v>
      </c>
      <c r="E103" s="135" t="s">
        <v>416</v>
      </c>
      <c r="F103" s="131"/>
      <c r="G103" s="136" t="s">
        <v>655</v>
      </c>
      <c r="H103" s="136" t="s">
        <v>224</v>
      </c>
      <c r="I103" s="131"/>
      <c r="J103" s="131"/>
      <c r="K103" s="131"/>
      <c r="L103" s="133">
        <v>46344.0</v>
      </c>
      <c r="M103" s="134"/>
      <c r="N103" s="134"/>
      <c r="O103" s="134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22.5" customHeight="1">
      <c r="A104" s="119">
        <v>103.0</v>
      </c>
      <c r="B104" s="129">
        <v>46058.0</v>
      </c>
      <c r="C104" s="130" t="s">
        <v>554</v>
      </c>
      <c r="D104" s="130" t="s">
        <v>583</v>
      </c>
      <c r="E104" s="135" t="s">
        <v>417</v>
      </c>
      <c r="F104" s="131"/>
      <c r="G104" s="136" t="s">
        <v>655</v>
      </c>
      <c r="H104" s="136" t="s">
        <v>224</v>
      </c>
      <c r="I104" s="131"/>
      <c r="J104" s="131"/>
      <c r="K104" s="131"/>
      <c r="L104" s="133">
        <v>46344.0</v>
      </c>
      <c r="M104" s="134"/>
      <c r="N104" s="134"/>
      <c r="O104" s="134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22.5" customHeight="1">
      <c r="A105" s="119">
        <v>104.0</v>
      </c>
      <c r="B105" s="129">
        <v>46058.0</v>
      </c>
      <c r="C105" s="130" t="s">
        <v>554</v>
      </c>
      <c r="D105" s="130" t="s">
        <v>583</v>
      </c>
      <c r="E105" s="135" t="s">
        <v>421</v>
      </c>
      <c r="F105" s="131"/>
      <c r="G105" s="137" t="s">
        <v>675</v>
      </c>
      <c r="H105" s="136" t="s">
        <v>674</v>
      </c>
      <c r="I105" s="131"/>
      <c r="J105" s="131"/>
      <c r="K105" s="131"/>
      <c r="L105" s="133">
        <v>46344.0</v>
      </c>
      <c r="M105" s="134"/>
      <c r="N105" s="134"/>
      <c r="O105" s="134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22.5" customHeight="1">
      <c r="A106" s="119">
        <v>105.0</v>
      </c>
      <c r="B106" s="129">
        <v>46058.0</v>
      </c>
      <c r="C106" s="130" t="s">
        <v>554</v>
      </c>
      <c r="D106" s="130" t="s">
        <v>583</v>
      </c>
      <c r="E106" s="135" t="s">
        <v>448</v>
      </c>
      <c r="F106" s="131"/>
      <c r="G106" s="137" t="s">
        <v>675</v>
      </c>
      <c r="H106" s="136" t="s">
        <v>674</v>
      </c>
      <c r="I106" s="131"/>
      <c r="J106" s="131"/>
      <c r="K106" s="131"/>
      <c r="L106" s="133">
        <v>46344.0</v>
      </c>
      <c r="M106" s="134"/>
      <c r="N106" s="134"/>
      <c r="O106" s="134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22.5" customHeight="1">
      <c r="A107" s="119">
        <v>106.0</v>
      </c>
      <c r="B107" s="129">
        <v>46058.0</v>
      </c>
      <c r="C107" s="130" t="s">
        <v>554</v>
      </c>
      <c r="D107" s="130" t="s">
        <v>583</v>
      </c>
      <c r="E107" s="138" t="s">
        <v>462</v>
      </c>
      <c r="F107" s="131"/>
      <c r="G107" s="137" t="s">
        <v>675</v>
      </c>
      <c r="H107" s="139" t="s">
        <v>677</v>
      </c>
      <c r="I107" s="131"/>
      <c r="J107" s="131"/>
      <c r="K107" s="131"/>
      <c r="L107" s="133">
        <v>46344.0</v>
      </c>
      <c r="M107" s="134"/>
      <c r="N107" s="134"/>
      <c r="O107" s="134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22.5" customHeight="1">
      <c r="A108" s="119">
        <v>107.0</v>
      </c>
      <c r="B108" s="129">
        <v>46058.0</v>
      </c>
      <c r="C108" s="130" t="s">
        <v>554</v>
      </c>
      <c r="D108" s="130" t="s">
        <v>583</v>
      </c>
      <c r="E108" s="138" t="s">
        <v>466</v>
      </c>
      <c r="F108" s="131"/>
      <c r="G108" s="137" t="s">
        <v>675</v>
      </c>
      <c r="H108" s="139" t="s">
        <v>677</v>
      </c>
      <c r="I108" s="131"/>
      <c r="J108" s="131"/>
      <c r="K108" s="131"/>
      <c r="L108" s="133">
        <v>46344.0</v>
      </c>
      <c r="M108" s="134"/>
      <c r="N108" s="134"/>
      <c r="O108" s="134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22.5" customHeight="1">
      <c r="A109" s="119">
        <v>108.0</v>
      </c>
      <c r="B109" s="129">
        <v>46058.0</v>
      </c>
      <c r="C109" s="130" t="s">
        <v>554</v>
      </c>
      <c r="D109" s="130" t="s">
        <v>583</v>
      </c>
      <c r="E109" s="138" t="s">
        <v>467</v>
      </c>
      <c r="F109" s="131"/>
      <c r="G109" s="137" t="s">
        <v>675</v>
      </c>
      <c r="H109" s="136" t="s">
        <v>674</v>
      </c>
      <c r="I109" s="131"/>
      <c r="J109" s="131"/>
      <c r="K109" s="131"/>
      <c r="L109" s="133">
        <v>46344.0</v>
      </c>
      <c r="M109" s="134"/>
      <c r="N109" s="134"/>
      <c r="O109" s="134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22.5" customHeight="1">
      <c r="A110" s="119">
        <v>109.0</v>
      </c>
      <c r="B110" s="129">
        <v>46058.0</v>
      </c>
      <c r="C110" s="130" t="s">
        <v>554</v>
      </c>
      <c r="D110" s="130" t="s">
        <v>583</v>
      </c>
      <c r="E110" s="138" t="s">
        <v>468</v>
      </c>
      <c r="F110" s="131"/>
      <c r="G110" s="137" t="s">
        <v>675</v>
      </c>
      <c r="H110" s="136" t="s">
        <v>674</v>
      </c>
      <c r="I110" s="131"/>
      <c r="J110" s="131"/>
      <c r="K110" s="131"/>
      <c r="L110" s="133">
        <v>46344.0</v>
      </c>
      <c r="M110" s="134"/>
      <c r="N110" s="134"/>
      <c r="O110" s="134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22.5" customHeight="1">
      <c r="A111" s="119">
        <v>110.0</v>
      </c>
      <c r="B111" s="129">
        <v>46058.0</v>
      </c>
      <c r="C111" s="130" t="s">
        <v>554</v>
      </c>
      <c r="D111" s="130" t="s">
        <v>583</v>
      </c>
      <c r="E111" s="138" t="s">
        <v>678</v>
      </c>
      <c r="F111" s="131"/>
      <c r="G111" s="137" t="s">
        <v>675</v>
      </c>
      <c r="H111" s="136" t="s">
        <v>674</v>
      </c>
      <c r="I111" s="131"/>
      <c r="J111" s="131"/>
      <c r="K111" s="131"/>
      <c r="L111" s="133">
        <v>46344.0</v>
      </c>
      <c r="M111" s="134"/>
      <c r="N111" s="134"/>
      <c r="O111" s="134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22.5" customHeight="1">
      <c r="A112" s="119">
        <v>111.0</v>
      </c>
      <c r="B112" s="129">
        <v>45968.0</v>
      </c>
      <c r="C112" s="130" t="s">
        <v>656</v>
      </c>
      <c r="D112" s="130" t="s">
        <v>679</v>
      </c>
      <c r="E112" s="140">
        <v>401.0</v>
      </c>
      <c r="F112" s="131"/>
      <c r="G112" s="141" t="s">
        <v>680</v>
      </c>
      <c r="H112" s="142" t="s">
        <v>224</v>
      </c>
      <c r="I112" s="131"/>
      <c r="J112" s="131"/>
      <c r="K112" s="131" t="s">
        <v>552</v>
      </c>
      <c r="L112" s="133">
        <v>46246.0</v>
      </c>
      <c r="M112" s="134"/>
      <c r="N112" s="134"/>
      <c r="O112" s="134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22.5" customHeight="1">
      <c r="A113" s="119">
        <v>112.0</v>
      </c>
      <c r="B113" s="129">
        <v>45968.0</v>
      </c>
      <c r="C113" s="130" t="s">
        <v>656</v>
      </c>
      <c r="D113" s="130" t="s">
        <v>679</v>
      </c>
      <c r="E113" s="140">
        <v>352.0</v>
      </c>
      <c r="F113" s="131"/>
      <c r="G113" s="141" t="s">
        <v>680</v>
      </c>
      <c r="H113" s="142" t="s">
        <v>224</v>
      </c>
      <c r="I113" s="131"/>
      <c r="J113" s="131"/>
      <c r="K113" s="131" t="s">
        <v>552</v>
      </c>
      <c r="L113" s="133">
        <v>46246.0</v>
      </c>
      <c r="M113" s="134"/>
      <c r="N113" s="134"/>
      <c r="O113" s="134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22.5" customHeight="1">
      <c r="A114" s="119">
        <v>113.0</v>
      </c>
      <c r="B114" s="129">
        <v>45968.0</v>
      </c>
      <c r="C114" s="130" t="s">
        <v>656</v>
      </c>
      <c r="D114" s="130" t="s">
        <v>679</v>
      </c>
      <c r="E114" s="140">
        <v>511.0</v>
      </c>
      <c r="F114" s="131"/>
      <c r="G114" s="141" t="s">
        <v>680</v>
      </c>
      <c r="H114" s="142" t="s">
        <v>224</v>
      </c>
      <c r="I114" s="131"/>
      <c r="J114" s="131"/>
      <c r="K114" s="131" t="s">
        <v>552</v>
      </c>
      <c r="L114" s="133">
        <v>46246.0</v>
      </c>
      <c r="M114" s="134"/>
      <c r="N114" s="134"/>
      <c r="O114" s="134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22.5" customHeight="1">
      <c r="A115" s="119">
        <v>114.0</v>
      </c>
      <c r="B115" s="129">
        <v>45968.0</v>
      </c>
      <c r="C115" s="130" t="s">
        <v>656</v>
      </c>
      <c r="D115" s="130" t="s">
        <v>679</v>
      </c>
      <c r="E115" s="140">
        <v>491.0</v>
      </c>
      <c r="F115" s="131"/>
      <c r="G115" s="141" t="s">
        <v>680</v>
      </c>
      <c r="H115" s="142" t="s">
        <v>224</v>
      </c>
      <c r="I115" s="131"/>
      <c r="J115" s="131"/>
      <c r="K115" s="131" t="s">
        <v>552</v>
      </c>
      <c r="L115" s="133">
        <v>46246.0</v>
      </c>
      <c r="M115" s="134"/>
      <c r="N115" s="134"/>
      <c r="O115" s="134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22.5" customHeight="1">
      <c r="A116" s="119">
        <v>115.0</v>
      </c>
      <c r="B116" s="129">
        <v>45968.0</v>
      </c>
      <c r="C116" s="130" t="s">
        <v>656</v>
      </c>
      <c r="D116" s="130" t="s">
        <v>679</v>
      </c>
      <c r="E116" s="140">
        <v>334.0</v>
      </c>
      <c r="F116" s="131"/>
      <c r="G116" s="141" t="s">
        <v>680</v>
      </c>
      <c r="H116" s="142" t="s">
        <v>224</v>
      </c>
      <c r="I116" s="131"/>
      <c r="J116" s="131"/>
      <c r="K116" s="131" t="s">
        <v>552</v>
      </c>
      <c r="L116" s="133">
        <v>46246.0</v>
      </c>
      <c r="M116" s="134"/>
      <c r="N116" s="134"/>
      <c r="O116" s="134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22.5" customHeight="1">
      <c r="A117" s="119">
        <v>116.0</v>
      </c>
      <c r="B117" s="129">
        <v>45968.0</v>
      </c>
      <c r="C117" s="130" t="s">
        <v>656</v>
      </c>
      <c r="D117" s="130" t="s">
        <v>679</v>
      </c>
      <c r="E117" s="140">
        <v>400.0</v>
      </c>
      <c r="F117" s="131"/>
      <c r="G117" s="141" t="s">
        <v>681</v>
      </c>
      <c r="H117" s="142" t="s">
        <v>525</v>
      </c>
      <c r="I117" s="131"/>
      <c r="J117" s="131"/>
      <c r="K117" s="131" t="s">
        <v>567</v>
      </c>
      <c r="L117" s="133">
        <v>46246.0</v>
      </c>
      <c r="M117" s="134"/>
      <c r="N117" s="134"/>
      <c r="O117" s="134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22.5" customHeight="1">
      <c r="A118" s="119">
        <v>117.0</v>
      </c>
      <c r="B118" s="129">
        <v>45968.0</v>
      </c>
      <c r="C118" s="130" t="s">
        <v>656</v>
      </c>
      <c r="D118" s="130" t="s">
        <v>679</v>
      </c>
      <c r="E118" s="140">
        <v>407.0</v>
      </c>
      <c r="F118" s="131"/>
      <c r="G118" s="141" t="s">
        <v>681</v>
      </c>
      <c r="H118" s="142" t="s">
        <v>525</v>
      </c>
      <c r="I118" s="131"/>
      <c r="J118" s="131"/>
      <c r="K118" s="131" t="s">
        <v>552</v>
      </c>
      <c r="L118" s="133">
        <v>46246.0</v>
      </c>
      <c r="M118" s="134"/>
      <c r="N118" s="134"/>
      <c r="O118" s="134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22.5" customHeight="1">
      <c r="A119" s="119">
        <v>118.0</v>
      </c>
      <c r="B119" s="129">
        <v>45968.0</v>
      </c>
      <c r="C119" s="130" t="s">
        <v>656</v>
      </c>
      <c r="D119" s="130" t="s">
        <v>679</v>
      </c>
      <c r="E119" s="140">
        <v>404.0</v>
      </c>
      <c r="F119" s="131"/>
      <c r="G119" s="141" t="s">
        <v>681</v>
      </c>
      <c r="H119" s="142" t="s">
        <v>525</v>
      </c>
      <c r="I119" s="131"/>
      <c r="J119" s="131"/>
      <c r="K119" s="131" t="s">
        <v>552</v>
      </c>
      <c r="L119" s="133">
        <v>46246.0</v>
      </c>
      <c r="M119" s="134"/>
      <c r="N119" s="134"/>
      <c r="O119" s="134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22.5" customHeight="1">
      <c r="A120" s="119">
        <v>119.0</v>
      </c>
      <c r="B120" s="129">
        <v>45968.0</v>
      </c>
      <c r="C120" s="130" t="s">
        <v>656</v>
      </c>
      <c r="D120" s="130" t="s">
        <v>679</v>
      </c>
      <c r="E120" s="140">
        <v>343.0</v>
      </c>
      <c r="F120" s="131"/>
      <c r="G120" s="141" t="s">
        <v>681</v>
      </c>
      <c r="H120" s="142" t="s">
        <v>525</v>
      </c>
      <c r="I120" s="131"/>
      <c r="J120" s="131"/>
      <c r="K120" s="131" t="s">
        <v>552</v>
      </c>
      <c r="L120" s="133">
        <v>46246.0</v>
      </c>
      <c r="M120" s="134"/>
      <c r="N120" s="134"/>
      <c r="O120" s="134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22.5" customHeight="1">
      <c r="A121" s="119">
        <v>120.0</v>
      </c>
      <c r="B121" s="129">
        <v>45968.0</v>
      </c>
      <c r="C121" s="130" t="s">
        <v>656</v>
      </c>
      <c r="D121" s="130" t="s">
        <v>679</v>
      </c>
      <c r="E121" s="140">
        <v>452.0</v>
      </c>
      <c r="F121" s="131"/>
      <c r="G121" s="141" t="s">
        <v>681</v>
      </c>
      <c r="H121" s="142" t="s">
        <v>525</v>
      </c>
      <c r="I121" s="131"/>
      <c r="J121" s="131"/>
      <c r="K121" s="131" t="s">
        <v>552</v>
      </c>
      <c r="L121" s="133">
        <v>46246.0</v>
      </c>
      <c r="M121" s="134"/>
      <c r="N121" s="134"/>
      <c r="O121" s="134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22.5" customHeight="1">
      <c r="A122" s="119">
        <v>121.0</v>
      </c>
      <c r="B122" s="129">
        <v>45968.0</v>
      </c>
      <c r="C122" s="130" t="s">
        <v>656</v>
      </c>
      <c r="D122" s="130" t="s">
        <v>679</v>
      </c>
      <c r="E122" s="140">
        <v>481.0</v>
      </c>
      <c r="F122" s="131"/>
      <c r="G122" s="141" t="s">
        <v>681</v>
      </c>
      <c r="H122" s="142" t="s">
        <v>525</v>
      </c>
      <c r="I122" s="131"/>
      <c r="J122" s="131"/>
      <c r="K122" s="131" t="s">
        <v>552</v>
      </c>
      <c r="L122" s="133">
        <v>46246.0</v>
      </c>
      <c r="M122" s="134"/>
      <c r="N122" s="134"/>
      <c r="O122" s="134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22.5" customHeight="1">
      <c r="A123" s="119">
        <v>122.0</v>
      </c>
      <c r="B123" s="129">
        <v>45945.0</v>
      </c>
      <c r="C123" s="130" t="s">
        <v>662</v>
      </c>
      <c r="D123" s="130" t="s">
        <v>663</v>
      </c>
      <c r="E123" s="140">
        <v>3212.0</v>
      </c>
      <c r="F123" s="131"/>
      <c r="G123" s="141" t="s">
        <v>682</v>
      </c>
      <c r="H123" s="142" t="s">
        <v>488</v>
      </c>
      <c r="I123" s="131"/>
      <c r="J123" s="131"/>
      <c r="K123" s="131" t="s">
        <v>552</v>
      </c>
      <c r="L123" s="133">
        <v>46231.0</v>
      </c>
      <c r="M123" s="134"/>
      <c r="N123" s="134"/>
      <c r="O123" s="134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22.5" customHeight="1">
      <c r="A124" s="119">
        <v>123.0</v>
      </c>
      <c r="B124" s="129">
        <v>45945.0</v>
      </c>
      <c r="C124" s="130" t="s">
        <v>662</v>
      </c>
      <c r="D124" s="130" t="s">
        <v>663</v>
      </c>
      <c r="E124" s="140">
        <v>3394.0</v>
      </c>
      <c r="F124" s="131"/>
      <c r="G124" s="141" t="s">
        <v>682</v>
      </c>
      <c r="H124" s="142" t="s">
        <v>488</v>
      </c>
      <c r="I124" s="131"/>
      <c r="J124" s="131"/>
      <c r="K124" s="131" t="s">
        <v>567</v>
      </c>
      <c r="L124" s="133">
        <v>46231.0</v>
      </c>
      <c r="M124" s="134"/>
      <c r="N124" s="134"/>
      <c r="O124" s="134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22.5" customHeight="1">
      <c r="A125" s="119">
        <v>124.0</v>
      </c>
      <c r="B125" s="129">
        <v>45945.0</v>
      </c>
      <c r="C125" s="130" t="s">
        <v>662</v>
      </c>
      <c r="D125" s="130" t="s">
        <v>663</v>
      </c>
      <c r="E125" s="140">
        <v>3395.0</v>
      </c>
      <c r="F125" s="131"/>
      <c r="G125" s="141" t="s">
        <v>682</v>
      </c>
      <c r="H125" s="142" t="s">
        <v>488</v>
      </c>
      <c r="I125" s="131"/>
      <c r="J125" s="131"/>
      <c r="K125" s="131" t="s">
        <v>567</v>
      </c>
      <c r="L125" s="133">
        <v>46231.0</v>
      </c>
      <c r="M125" s="134"/>
      <c r="N125" s="134"/>
      <c r="O125" s="134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22.5" customHeight="1">
      <c r="A126" s="119">
        <v>125.0</v>
      </c>
      <c r="B126" s="129">
        <v>45945.0</v>
      </c>
      <c r="C126" s="130" t="s">
        <v>662</v>
      </c>
      <c r="D126" s="130" t="s">
        <v>663</v>
      </c>
      <c r="E126" s="140">
        <v>652.0</v>
      </c>
      <c r="F126" s="131"/>
      <c r="G126" s="141" t="s">
        <v>682</v>
      </c>
      <c r="H126" s="142" t="s">
        <v>488</v>
      </c>
      <c r="I126" s="131"/>
      <c r="J126" s="131"/>
      <c r="K126" s="131" t="s">
        <v>567</v>
      </c>
      <c r="L126" s="133">
        <v>46231.0</v>
      </c>
      <c r="M126" s="134"/>
      <c r="N126" s="134"/>
      <c r="O126" s="134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22.5" customHeight="1">
      <c r="A127" s="119">
        <v>126.0</v>
      </c>
      <c r="B127" s="129">
        <v>45945.0</v>
      </c>
      <c r="C127" s="130" t="s">
        <v>662</v>
      </c>
      <c r="D127" s="130" t="s">
        <v>663</v>
      </c>
      <c r="E127" s="140">
        <v>1065.0</v>
      </c>
      <c r="F127" s="131"/>
      <c r="G127" s="141" t="s">
        <v>682</v>
      </c>
      <c r="H127" s="142" t="s">
        <v>488</v>
      </c>
      <c r="I127" s="131"/>
      <c r="J127" s="131"/>
      <c r="K127" s="131" t="s">
        <v>567</v>
      </c>
      <c r="L127" s="133">
        <v>46231.0</v>
      </c>
      <c r="M127" s="134"/>
      <c r="N127" s="134"/>
      <c r="O127" s="134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22.5" customHeight="1">
      <c r="A128" s="119">
        <v>127.0</v>
      </c>
      <c r="B128" s="129">
        <v>45945.0</v>
      </c>
      <c r="C128" s="130" t="s">
        <v>662</v>
      </c>
      <c r="D128" s="130" t="s">
        <v>663</v>
      </c>
      <c r="E128" s="140">
        <v>3450.0</v>
      </c>
      <c r="F128" s="131"/>
      <c r="G128" s="141" t="s">
        <v>682</v>
      </c>
      <c r="H128" s="142" t="s">
        <v>488</v>
      </c>
      <c r="I128" s="131"/>
      <c r="J128" s="131"/>
      <c r="K128" s="131" t="s">
        <v>567</v>
      </c>
      <c r="L128" s="133">
        <v>46231.0</v>
      </c>
      <c r="M128" s="134"/>
      <c r="N128" s="134"/>
      <c r="O128" s="134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22.5" customHeight="1">
      <c r="A129" s="119">
        <v>128.0</v>
      </c>
      <c r="B129" s="129"/>
      <c r="C129" s="130"/>
      <c r="D129" s="130"/>
      <c r="E129" s="140"/>
      <c r="F129" s="131"/>
      <c r="G129" s="141" t="s">
        <v>683</v>
      </c>
      <c r="H129" s="142" t="s">
        <v>525</v>
      </c>
      <c r="I129" s="131"/>
      <c r="J129" s="131"/>
      <c r="K129" s="131" t="s">
        <v>552</v>
      </c>
      <c r="L129" s="133"/>
      <c r="M129" s="134"/>
      <c r="N129" s="134"/>
      <c r="O129" s="134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22.5" customHeight="1">
      <c r="A130" s="119">
        <v>129.0</v>
      </c>
      <c r="B130" s="129"/>
      <c r="C130" s="130"/>
      <c r="D130" s="130"/>
      <c r="E130" s="140"/>
      <c r="F130" s="131"/>
      <c r="G130" s="141" t="s">
        <v>683</v>
      </c>
      <c r="H130" s="142" t="s">
        <v>525</v>
      </c>
      <c r="I130" s="131"/>
      <c r="J130" s="131"/>
      <c r="K130" s="131" t="s">
        <v>552</v>
      </c>
      <c r="L130" s="133"/>
      <c r="M130" s="134"/>
      <c r="N130" s="134"/>
      <c r="O130" s="134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22.5" customHeight="1">
      <c r="A131" s="119">
        <v>130.0</v>
      </c>
      <c r="B131" s="129">
        <v>45890.0</v>
      </c>
      <c r="C131" s="130"/>
      <c r="D131" s="130"/>
      <c r="E131" s="140"/>
      <c r="F131" s="131" t="s">
        <v>684</v>
      </c>
      <c r="G131" s="141" t="s">
        <v>685</v>
      </c>
      <c r="H131" s="142" t="s">
        <v>224</v>
      </c>
      <c r="I131" s="131"/>
      <c r="J131" s="131"/>
      <c r="K131" s="131" t="s">
        <v>552</v>
      </c>
      <c r="L131" s="133">
        <v>46174.0</v>
      </c>
      <c r="M131" s="134"/>
      <c r="N131" s="134"/>
      <c r="O131" s="134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22.5" customHeight="1">
      <c r="A132" s="119">
        <v>131.0</v>
      </c>
      <c r="B132" s="129">
        <v>45890.0</v>
      </c>
      <c r="C132" s="130"/>
      <c r="D132" s="130"/>
      <c r="E132" s="140"/>
      <c r="F132" s="131" t="s">
        <v>686</v>
      </c>
      <c r="G132" s="141" t="s">
        <v>685</v>
      </c>
      <c r="H132" s="142" t="s">
        <v>224</v>
      </c>
      <c r="I132" s="131"/>
      <c r="J132" s="131"/>
      <c r="K132" s="131" t="s">
        <v>552</v>
      </c>
      <c r="L132" s="133">
        <v>46174.0</v>
      </c>
      <c r="M132" s="134"/>
      <c r="N132" s="134"/>
      <c r="O132" s="134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22.5" customHeight="1">
      <c r="A133" s="119">
        <v>132.0</v>
      </c>
      <c r="B133" s="129">
        <v>46201.0</v>
      </c>
      <c r="C133" s="130"/>
      <c r="D133" s="130"/>
      <c r="E133" s="140"/>
      <c r="F133" s="131" t="s">
        <v>687</v>
      </c>
      <c r="G133" s="141" t="s">
        <v>688</v>
      </c>
      <c r="H133" s="142" t="s">
        <v>689</v>
      </c>
      <c r="I133" s="131"/>
      <c r="J133" s="131"/>
      <c r="K133" s="131" t="s">
        <v>552</v>
      </c>
      <c r="L133" s="133">
        <v>46127.0</v>
      </c>
      <c r="M133" s="134"/>
      <c r="N133" s="134"/>
      <c r="O133" s="134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22.5" customHeight="1">
      <c r="A134" s="119">
        <v>133.0</v>
      </c>
      <c r="B134" s="129"/>
      <c r="C134" s="130"/>
      <c r="D134" s="130"/>
      <c r="E134" s="140">
        <v>132.0</v>
      </c>
      <c r="F134" s="131" t="s">
        <v>690</v>
      </c>
      <c r="G134" s="141" t="s">
        <v>691</v>
      </c>
      <c r="H134" s="142" t="s">
        <v>488</v>
      </c>
      <c r="I134" s="131"/>
      <c r="J134" s="131"/>
      <c r="K134" s="131" t="s">
        <v>552</v>
      </c>
      <c r="L134" s="133"/>
      <c r="M134" s="134"/>
      <c r="N134" s="134"/>
      <c r="O134" s="134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22.5" customHeight="1">
      <c r="A135" s="119">
        <v>134.0</v>
      </c>
      <c r="B135" s="129"/>
      <c r="C135" s="130"/>
      <c r="D135" s="130" t="s">
        <v>692</v>
      </c>
      <c r="E135" s="140" t="s">
        <v>693</v>
      </c>
      <c r="F135" s="131">
        <v>2998.0</v>
      </c>
      <c r="G135" s="141" t="s">
        <v>694</v>
      </c>
      <c r="H135" s="142" t="s">
        <v>488</v>
      </c>
      <c r="I135" s="131"/>
      <c r="J135" s="131"/>
      <c r="K135" s="131" t="s">
        <v>552</v>
      </c>
      <c r="L135" s="132"/>
      <c r="M135" s="134"/>
      <c r="N135" s="134"/>
      <c r="O135" s="134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22.5" customHeight="1">
      <c r="A136" s="119">
        <v>135.0</v>
      </c>
      <c r="B136" s="129"/>
      <c r="C136" s="130"/>
      <c r="D136" s="130"/>
      <c r="E136" s="140"/>
      <c r="F136" s="131"/>
      <c r="G136" s="141"/>
      <c r="H136" s="142"/>
      <c r="I136" s="131"/>
      <c r="J136" s="131"/>
      <c r="K136" s="131"/>
      <c r="L136" s="132"/>
      <c r="M136" s="134"/>
      <c r="N136" s="134"/>
      <c r="O136" s="134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>
      <c r="A137" s="123"/>
      <c r="B137" s="123"/>
      <c r="C137" s="123"/>
      <c r="D137" s="123"/>
      <c r="E137" s="143"/>
      <c r="F137" s="14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>
      <c r="A138" s="123"/>
      <c r="B138" s="123"/>
      <c r="C138" s="123"/>
      <c r="D138" s="123"/>
      <c r="E138" s="143"/>
      <c r="F138" s="14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>
      <c r="A139" s="123"/>
      <c r="B139" s="123"/>
      <c r="C139" s="123"/>
      <c r="D139" s="123"/>
      <c r="E139" s="143"/>
      <c r="F139" s="14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>
      <c r="A140" s="123"/>
      <c r="B140" s="123"/>
      <c r="C140" s="123"/>
      <c r="D140" s="123"/>
      <c r="E140" s="143"/>
      <c r="F140" s="14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>
      <c r="A141" s="123"/>
      <c r="B141" s="123"/>
      <c r="C141" s="123"/>
      <c r="D141" s="123"/>
      <c r="E141" s="143"/>
      <c r="F141" s="14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>
      <c r="A142" s="123"/>
      <c r="B142" s="123"/>
      <c r="C142" s="123"/>
      <c r="D142" s="123"/>
      <c r="E142" s="143"/>
      <c r="F142" s="14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>
      <c r="A143" s="123"/>
      <c r="B143" s="123"/>
      <c r="C143" s="123"/>
      <c r="D143" s="123"/>
      <c r="E143" s="143"/>
      <c r="F143" s="14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>
      <c r="A144" s="123"/>
      <c r="B144" s="123"/>
      <c r="C144" s="123"/>
      <c r="D144" s="123"/>
      <c r="E144" s="143"/>
      <c r="F144" s="14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>
      <c r="A145" s="123"/>
      <c r="B145" s="123"/>
      <c r="C145" s="123"/>
      <c r="D145" s="123"/>
      <c r="E145" s="143"/>
      <c r="F145" s="14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>
      <c r="A146" s="123"/>
      <c r="B146" s="123"/>
      <c r="C146" s="123"/>
      <c r="D146" s="123"/>
      <c r="E146" s="143"/>
      <c r="F146" s="14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>
      <c r="A147" s="123"/>
      <c r="B147" s="123"/>
      <c r="C147" s="123"/>
      <c r="D147" s="123"/>
      <c r="E147" s="143"/>
      <c r="F147" s="14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>
      <c r="A148" s="123"/>
      <c r="B148" s="123"/>
      <c r="C148" s="123"/>
      <c r="D148" s="123"/>
      <c r="E148" s="143"/>
      <c r="F148" s="14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>
      <c r="A149" s="123"/>
      <c r="B149" s="123"/>
      <c r="C149" s="123"/>
      <c r="D149" s="123"/>
      <c r="E149" s="143"/>
      <c r="F149" s="14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>
      <c r="A150" s="123"/>
      <c r="B150" s="123"/>
      <c r="C150" s="123"/>
      <c r="D150" s="123"/>
      <c r="E150" s="143"/>
      <c r="F150" s="14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>
      <c r="A151" s="123"/>
      <c r="B151" s="123"/>
      <c r="C151" s="123"/>
      <c r="D151" s="123"/>
      <c r="E151" s="143"/>
      <c r="F151" s="14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>
      <c r="A152" s="123"/>
      <c r="B152" s="123"/>
      <c r="C152" s="123"/>
      <c r="D152" s="123"/>
      <c r="E152" s="143"/>
      <c r="F152" s="14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>
      <c r="A153" s="123"/>
      <c r="B153" s="123"/>
      <c r="C153" s="123"/>
      <c r="D153" s="123"/>
      <c r="E153" s="143"/>
      <c r="F153" s="14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>
      <c r="A154" s="123"/>
      <c r="B154" s="123"/>
      <c r="C154" s="123"/>
      <c r="D154" s="123"/>
      <c r="E154" s="143"/>
      <c r="F154" s="14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>
      <c r="A155" s="123"/>
      <c r="B155" s="123"/>
      <c r="C155" s="123"/>
      <c r="D155" s="123"/>
      <c r="E155" s="143"/>
      <c r="F155" s="14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>
      <c r="A156" s="123"/>
      <c r="B156" s="123"/>
      <c r="C156" s="123"/>
      <c r="D156" s="123"/>
      <c r="E156" s="143"/>
      <c r="F156" s="14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>
      <c r="A157" s="123"/>
      <c r="B157" s="123"/>
      <c r="C157" s="123"/>
      <c r="D157" s="123"/>
      <c r="E157" s="143"/>
      <c r="F157" s="14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>
      <c r="A158" s="123"/>
      <c r="B158" s="123"/>
      <c r="C158" s="123"/>
      <c r="D158" s="123"/>
      <c r="E158" s="143"/>
      <c r="F158" s="14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>
      <c r="A159" s="123"/>
      <c r="B159" s="123"/>
      <c r="C159" s="123"/>
      <c r="D159" s="123"/>
      <c r="E159" s="143"/>
      <c r="F159" s="14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>
      <c r="A160" s="123"/>
      <c r="B160" s="123"/>
      <c r="C160" s="123"/>
      <c r="D160" s="123"/>
      <c r="E160" s="143"/>
      <c r="F160" s="14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>
      <c r="A161" s="123"/>
      <c r="B161" s="123"/>
      <c r="C161" s="123"/>
      <c r="D161" s="123"/>
      <c r="E161" s="143"/>
      <c r="F161" s="14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>
      <c r="A162" s="123"/>
      <c r="B162" s="123"/>
      <c r="C162" s="123"/>
      <c r="D162" s="123"/>
      <c r="E162" s="143"/>
      <c r="F162" s="14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>
      <c r="A163" s="123"/>
      <c r="B163" s="123"/>
      <c r="C163" s="123"/>
      <c r="D163" s="123"/>
      <c r="E163" s="143"/>
      <c r="F163" s="14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>
      <c r="A164" s="123"/>
      <c r="B164" s="123"/>
      <c r="C164" s="123"/>
      <c r="D164" s="123"/>
      <c r="E164" s="143"/>
      <c r="F164" s="14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>
      <c r="A165" s="123"/>
      <c r="B165" s="123"/>
      <c r="C165" s="123"/>
      <c r="D165" s="123"/>
      <c r="E165" s="143"/>
      <c r="F165" s="14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>
      <c r="A166" s="123"/>
      <c r="B166" s="123"/>
      <c r="C166" s="123"/>
      <c r="D166" s="123"/>
      <c r="E166" s="143"/>
      <c r="F166" s="14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>
      <c r="A167" s="123"/>
      <c r="B167" s="123"/>
      <c r="C167" s="123"/>
      <c r="D167" s="123"/>
      <c r="E167" s="143"/>
      <c r="F167" s="14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>
      <c r="A168" s="123"/>
      <c r="B168" s="123"/>
      <c r="C168" s="123"/>
      <c r="D168" s="123"/>
      <c r="E168" s="143"/>
      <c r="F168" s="14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>
      <c r="A169" s="123"/>
      <c r="B169" s="123"/>
      <c r="C169" s="123"/>
      <c r="D169" s="123"/>
      <c r="E169" s="143"/>
      <c r="F169" s="14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>
      <c r="A170" s="123"/>
      <c r="B170" s="123"/>
      <c r="C170" s="123"/>
      <c r="D170" s="123"/>
      <c r="E170" s="143"/>
      <c r="F170" s="14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>
      <c r="A171" s="123"/>
      <c r="B171" s="123"/>
      <c r="C171" s="123"/>
      <c r="D171" s="123"/>
      <c r="E171" s="143"/>
      <c r="F171" s="14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>
      <c r="A172" s="123"/>
      <c r="B172" s="123"/>
      <c r="C172" s="123"/>
      <c r="D172" s="123"/>
      <c r="E172" s="143"/>
      <c r="F172" s="14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>
      <c r="A173" s="123"/>
      <c r="B173" s="123"/>
      <c r="C173" s="123"/>
      <c r="D173" s="123"/>
      <c r="E173" s="143"/>
      <c r="F173" s="14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>
      <c r="A174" s="123"/>
      <c r="B174" s="123"/>
      <c r="C174" s="123"/>
      <c r="D174" s="123"/>
      <c r="E174" s="143"/>
      <c r="F174" s="14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>
      <c r="A175" s="123"/>
      <c r="B175" s="123"/>
      <c r="C175" s="123"/>
      <c r="D175" s="123"/>
      <c r="E175" s="143"/>
      <c r="F175" s="14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>
      <c r="A176" s="123"/>
      <c r="B176" s="123"/>
      <c r="C176" s="123"/>
      <c r="D176" s="123"/>
      <c r="E176" s="143"/>
      <c r="F176" s="14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>
      <c r="A177" s="123"/>
      <c r="B177" s="123"/>
      <c r="C177" s="123"/>
      <c r="D177" s="123"/>
      <c r="E177" s="143"/>
      <c r="F177" s="14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>
      <c r="A178" s="123"/>
      <c r="B178" s="123"/>
      <c r="C178" s="123"/>
      <c r="D178" s="123"/>
      <c r="E178" s="143"/>
      <c r="F178" s="14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>
      <c r="A179" s="123"/>
      <c r="B179" s="123"/>
      <c r="C179" s="123"/>
      <c r="D179" s="123"/>
      <c r="E179" s="143"/>
      <c r="F179" s="14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>
      <c r="A180" s="123"/>
      <c r="B180" s="123"/>
      <c r="C180" s="123"/>
      <c r="D180" s="123"/>
      <c r="E180" s="143"/>
      <c r="F180" s="14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>
      <c r="A181" s="123"/>
      <c r="B181" s="123"/>
      <c r="C181" s="123"/>
      <c r="D181" s="123"/>
      <c r="E181" s="143"/>
      <c r="F181" s="14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>
      <c r="A182" s="123"/>
      <c r="B182" s="123"/>
      <c r="C182" s="123"/>
      <c r="D182" s="123"/>
      <c r="E182" s="143"/>
      <c r="F182" s="14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>
      <c r="A183" s="123"/>
      <c r="B183" s="123"/>
      <c r="C183" s="123"/>
      <c r="D183" s="123"/>
      <c r="E183" s="143"/>
      <c r="F183" s="14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>
      <c r="A184" s="123"/>
      <c r="B184" s="123"/>
      <c r="C184" s="123"/>
      <c r="D184" s="123"/>
      <c r="E184" s="143"/>
      <c r="F184" s="14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>
      <c r="A185" s="123"/>
      <c r="B185" s="123"/>
      <c r="C185" s="123"/>
      <c r="D185" s="123"/>
      <c r="E185" s="143"/>
      <c r="F185" s="14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>
      <c r="A186" s="123"/>
      <c r="B186" s="123"/>
      <c r="C186" s="123"/>
      <c r="D186" s="123"/>
      <c r="E186" s="143"/>
      <c r="F186" s="14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>
      <c r="A187" s="123"/>
      <c r="B187" s="123"/>
      <c r="C187" s="123"/>
      <c r="D187" s="123"/>
      <c r="E187" s="143"/>
      <c r="F187" s="14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>
      <c r="A188" s="123"/>
      <c r="B188" s="123"/>
      <c r="C188" s="123"/>
      <c r="D188" s="123"/>
      <c r="E188" s="143"/>
      <c r="F188" s="14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>
      <c r="A189" s="123"/>
      <c r="B189" s="123"/>
      <c r="C189" s="123"/>
      <c r="D189" s="123"/>
      <c r="E189" s="143"/>
      <c r="F189" s="14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>
      <c r="A190" s="123"/>
      <c r="B190" s="123"/>
      <c r="C190" s="123"/>
      <c r="D190" s="123"/>
      <c r="E190" s="143"/>
      <c r="F190" s="14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>
      <c r="A191" s="123"/>
      <c r="B191" s="123"/>
      <c r="C191" s="123"/>
      <c r="D191" s="123"/>
      <c r="E191" s="143"/>
      <c r="F191" s="14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>
      <c r="A192" s="123"/>
      <c r="B192" s="123"/>
      <c r="C192" s="123"/>
      <c r="D192" s="123"/>
      <c r="E192" s="143"/>
      <c r="F192" s="14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>
      <c r="A193" s="123"/>
      <c r="B193" s="123"/>
      <c r="C193" s="123"/>
      <c r="D193" s="123"/>
      <c r="E193" s="143"/>
      <c r="F193" s="14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>
      <c r="A194" s="123"/>
      <c r="B194" s="123"/>
      <c r="C194" s="123"/>
      <c r="D194" s="123"/>
      <c r="E194" s="143"/>
      <c r="F194" s="14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>
      <c r="A195" s="123"/>
      <c r="B195" s="123"/>
      <c r="C195" s="123"/>
      <c r="D195" s="123"/>
      <c r="E195" s="143"/>
      <c r="F195" s="14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>
      <c r="A196" s="123"/>
      <c r="B196" s="123"/>
      <c r="C196" s="123"/>
      <c r="D196" s="123"/>
      <c r="E196" s="143"/>
      <c r="F196" s="14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>
      <c r="A197" s="123"/>
      <c r="B197" s="123"/>
      <c r="C197" s="123"/>
      <c r="D197" s="123"/>
      <c r="E197" s="143"/>
      <c r="F197" s="14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>
      <c r="A198" s="123"/>
      <c r="B198" s="123"/>
      <c r="C198" s="123"/>
      <c r="D198" s="123"/>
      <c r="E198" s="143"/>
      <c r="F198" s="14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>
      <c r="A199" s="123"/>
      <c r="B199" s="123"/>
      <c r="C199" s="123"/>
      <c r="D199" s="123"/>
      <c r="E199" s="143"/>
      <c r="F199" s="14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>
      <c r="A200" s="123"/>
      <c r="B200" s="123"/>
      <c r="C200" s="123"/>
      <c r="D200" s="123"/>
      <c r="E200" s="143"/>
      <c r="F200" s="14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>
      <c r="A201" s="123"/>
      <c r="B201" s="123"/>
      <c r="C201" s="123"/>
      <c r="D201" s="123"/>
      <c r="E201" s="143"/>
      <c r="F201" s="14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>
      <c r="A202" s="123"/>
      <c r="B202" s="123"/>
      <c r="C202" s="123"/>
      <c r="D202" s="123"/>
      <c r="E202" s="143"/>
      <c r="F202" s="14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>
      <c r="A203" s="123"/>
      <c r="B203" s="123"/>
      <c r="C203" s="123"/>
      <c r="D203" s="123"/>
      <c r="E203" s="143"/>
      <c r="F203" s="14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>
      <c r="A204" s="123"/>
      <c r="B204" s="123"/>
      <c r="C204" s="123"/>
      <c r="D204" s="123"/>
      <c r="E204" s="143"/>
      <c r="F204" s="14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>
      <c r="A205" s="123"/>
      <c r="B205" s="123"/>
      <c r="C205" s="123"/>
      <c r="D205" s="123"/>
      <c r="E205" s="143"/>
      <c r="F205" s="14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>
      <c r="A206" s="123"/>
      <c r="B206" s="123"/>
      <c r="C206" s="123"/>
      <c r="D206" s="123"/>
      <c r="E206" s="143"/>
      <c r="F206" s="14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>
      <c r="A207" s="123"/>
      <c r="B207" s="123"/>
      <c r="C207" s="123"/>
      <c r="D207" s="123"/>
      <c r="E207" s="143"/>
      <c r="F207" s="14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>
      <c r="A208" s="123"/>
      <c r="B208" s="123"/>
      <c r="C208" s="123"/>
      <c r="D208" s="123"/>
      <c r="E208" s="143"/>
      <c r="F208" s="14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>
      <c r="A209" s="123"/>
      <c r="B209" s="123"/>
      <c r="C209" s="123"/>
      <c r="D209" s="123"/>
      <c r="E209" s="143"/>
      <c r="F209" s="14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>
      <c r="A210" s="123"/>
      <c r="B210" s="123"/>
      <c r="C210" s="123"/>
      <c r="D210" s="123"/>
      <c r="E210" s="143"/>
      <c r="F210" s="14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>
      <c r="A211" s="123"/>
      <c r="B211" s="123"/>
      <c r="C211" s="123"/>
      <c r="D211" s="123"/>
      <c r="E211" s="143"/>
      <c r="F211" s="14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>
      <c r="A212" s="123"/>
      <c r="B212" s="123"/>
      <c r="C212" s="123"/>
      <c r="D212" s="123"/>
      <c r="E212" s="143"/>
      <c r="F212" s="14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>
      <c r="A213" s="123"/>
      <c r="B213" s="123"/>
      <c r="C213" s="123"/>
      <c r="D213" s="123"/>
      <c r="E213" s="143"/>
      <c r="F213" s="14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>
      <c r="A214" s="123"/>
      <c r="B214" s="123"/>
      <c r="C214" s="123"/>
      <c r="D214" s="123"/>
      <c r="E214" s="143"/>
      <c r="F214" s="14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>
      <c r="A215" s="123"/>
      <c r="B215" s="123"/>
      <c r="C215" s="123"/>
      <c r="D215" s="123"/>
      <c r="E215" s="143"/>
      <c r="F215" s="14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>
      <c r="A216" s="123"/>
      <c r="B216" s="123"/>
      <c r="C216" s="123"/>
      <c r="D216" s="123"/>
      <c r="E216" s="143"/>
      <c r="F216" s="14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>
      <c r="A217" s="123"/>
      <c r="B217" s="123"/>
      <c r="C217" s="123"/>
      <c r="D217" s="123"/>
      <c r="E217" s="143"/>
      <c r="F217" s="14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>
      <c r="A218" s="123"/>
      <c r="B218" s="123"/>
      <c r="C218" s="123"/>
      <c r="D218" s="123"/>
      <c r="E218" s="143"/>
      <c r="F218" s="14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>
      <c r="A219" s="123"/>
      <c r="B219" s="123"/>
      <c r="C219" s="123"/>
      <c r="D219" s="123"/>
      <c r="E219" s="143"/>
      <c r="F219" s="14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>
      <c r="A220" s="123"/>
      <c r="B220" s="123"/>
      <c r="C220" s="123"/>
      <c r="D220" s="123"/>
      <c r="E220" s="143"/>
      <c r="F220" s="14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>
      <c r="A221" s="123"/>
      <c r="B221" s="123"/>
      <c r="C221" s="123"/>
      <c r="D221" s="123"/>
      <c r="E221" s="143"/>
      <c r="F221" s="14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>
      <c r="A222" s="123"/>
      <c r="B222" s="123"/>
      <c r="C222" s="123"/>
      <c r="D222" s="123"/>
      <c r="E222" s="143"/>
      <c r="F222" s="14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>
      <c r="A223" s="123"/>
      <c r="B223" s="123"/>
      <c r="C223" s="123"/>
      <c r="D223" s="123"/>
      <c r="E223" s="143"/>
      <c r="F223" s="14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>
      <c r="A224" s="123"/>
      <c r="B224" s="123"/>
      <c r="C224" s="123"/>
      <c r="D224" s="123"/>
      <c r="E224" s="143"/>
      <c r="F224" s="14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>
      <c r="A225" s="123"/>
      <c r="B225" s="123"/>
      <c r="C225" s="123"/>
      <c r="D225" s="123"/>
      <c r="E225" s="143"/>
      <c r="F225" s="14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>
      <c r="A226" s="123"/>
      <c r="B226" s="123"/>
      <c r="C226" s="123"/>
      <c r="D226" s="123"/>
      <c r="E226" s="143"/>
      <c r="F226" s="14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>
      <c r="A227" s="123"/>
      <c r="B227" s="123"/>
      <c r="C227" s="123"/>
      <c r="D227" s="123"/>
      <c r="E227" s="143"/>
      <c r="F227" s="14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>
      <c r="A228" s="123"/>
      <c r="B228" s="123"/>
      <c r="C228" s="123"/>
      <c r="D228" s="123"/>
      <c r="E228" s="143"/>
      <c r="F228" s="14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>
      <c r="A229" s="123"/>
      <c r="B229" s="123"/>
      <c r="C229" s="123"/>
      <c r="D229" s="123"/>
      <c r="E229" s="143"/>
      <c r="F229" s="14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>
      <c r="A230" s="123"/>
      <c r="B230" s="123"/>
      <c r="C230" s="123"/>
      <c r="D230" s="123"/>
      <c r="E230" s="143"/>
      <c r="F230" s="14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>
      <c r="A231" s="123"/>
      <c r="B231" s="123"/>
      <c r="C231" s="123"/>
      <c r="D231" s="123"/>
      <c r="E231" s="143"/>
      <c r="F231" s="14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>
      <c r="A232" s="123"/>
      <c r="B232" s="123"/>
      <c r="C232" s="123"/>
      <c r="D232" s="123"/>
      <c r="E232" s="143"/>
      <c r="F232" s="14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>
      <c r="A233" s="123"/>
      <c r="B233" s="123"/>
      <c r="C233" s="123"/>
      <c r="D233" s="123"/>
      <c r="E233" s="143"/>
      <c r="F233" s="14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>
      <c r="A234" s="123"/>
      <c r="B234" s="123"/>
      <c r="C234" s="123"/>
      <c r="D234" s="123"/>
      <c r="E234" s="143"/>
      <c r="F234" s="14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>
      <c r="A235" s="123"/>
      <c r="B235" s="123"/>
      <c r="C235" s="123"/>
      <c r="D235" s="123"/>
      <c r="E235" s="143"/>
      <c r="F235" s="14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>
      <c r="A236" s="123"/>
      <c r="B236" s="123"/>
      <c r="C236" s="123"/>
      <c r="D236" s="123"/>
      <c r="E236" s="143"/>
      <c r="F236" s="14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>
      <c r="A237" s="123"/>
      <c r="B237" s="123"/>
      <c r="C237" s="123"/>
      <c r="D237" s="123"/>
      <c r="E237" s="143"/>
      <c r="F237" s="14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>
      <c r="A238" s="123"/>
      <c r="B238" s="123"/>
      <c r="C238" s="123"/>
      <c r="D238" s="123"/>
      <c r="E238" s="143"/>
      <c r="F238" s="14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>
      <c r="A239" s="123"/>
      <c r="B239" s="123"/>
      <c r="C239" s="123"/>
      <c r="D239" s="123"/>
      <c r="E239" s="143"/>
      <c r="F239" s="14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>
      <c r="A240" s="123"/>
      <c r="B240" s="123"/>
      <c r="C240" s="123"/>
      <c r="D240" s="123"/>
      <c r="E240" s="143"/>
      <c r="F240" s="14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>
      <c r="A241" s="123"/>
      <c r="B241" s="123"/>
      <c r="C241" s="123"/>
      <c r="D241" s="123"/>
      <c r="E241" s="143"/>
      <c r="F241" s="14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>
      <c r="A242" s="123"/>
      <c r="B242" s="123"/>
      <c r="C242" s="123"/>
      <c r="D242" s="123"/>
      <c r="E242" s="143"/>
      <c r="F242" s="14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>
      <c r="A243" s="123"/>
      <c r="B243" s="123"/>
      <c r="C243" s="123"/>
      <c r="D243" s="123"/>
      <c r="E243" s="143"/>
      <c r="F243" s="14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>
      <c r="A244" s="123"/>
      <c r="B244" s="123"/>
      <c r="C244" s="123"/>
      <c r="D244" s="123"/>
      <c r="E244" s="143"/>
      <c r="F244" s="14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>
      <c r="A245" s="123"/>
      <c r="B245" s="123"/>
      <c r="C245" s="123"/>
      <c r="D245" s="123"/>
      <c r="E245" s="143"/>
      <c r="F245" s="14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>
      <c r="A246" s="123"/>
      <c r="B246" s="123"/>
      <c r="C246" s="123"/>
      <c r="D246" s="123"/>
      <c r="E246" s="143"/>
      <c r="F246" s="14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>
      <c r="A247" s="123"/>
      <c r="B247" s="123"/>
      <c r="C247" s="123"/>
      <c r="D247" s="123"/>
      <c r="E247" s="143"/>
      <c r="F247" s="14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>
      <c r="A248" s="123"/>
      <c r="B248" s="123"/>
      <c r="C248" s="123"/>
      <c r="D248" s="123"/>
      <c r="E248" s="143"/>
      <c r="F248" s="14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>
      <c r="A249" s="123"/>
      <c r="B249" s="123"/>
      <c r="C249" s="123"/>
      <c r="D249" s="123"/>
      <c r="E249" s="143"/>
      <c r="F249" s="14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>
      <c r="A250" s="123"/>
      <c r="B250" s="123"/>
      <c r="C250" s="123"/>
      <c r="D250" s="123"/>
      <c r="E250" s="143"/>
      <c r="F250" s="14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>
      <c r="A251" s="123"/>
      <c r="B251" s="123"/>
      <c r="C251" s="123"/>
      <c r="D251" s="123"/>
      <c r="E251" s="143"/>
      <c r="F251" s="14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>
      <c r="A252" s="123"/>
      <c r="B252" s="123"/>
      <c r="C252" s="123"/>
      <c r="D252" s="123"/>
      <c r="E252" s="143"/>
      <c r="F252" s="14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>
      <c r="A253" s="123"/>
      <c r="B253" s="123"/>
      <c r="C253" s="123"/>
      <c r="D253" s="123"/>
      <c r="E253" s="143"/>
      <c r="F253" s="14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>
      <c r="A254" s="123"/>
      <c r="B254" s="123"/>
      <c r="C254" s="123"/>
      <c r="D254" s="123"/>
      <c r="E254" s="143"/>
      <c r="F254" s="14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>
      <c r="A255" s="123"/>
      <c r="B255" s="123"/>
      <c r="C255" s="123"/>
      <c r="D255" s="123"/>
      <c r="E255" s="143"/>
      <c r="F255" s="14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>
      <c r="A256" s="123"/>
      <c r="B256" s="123"/>
      <c r="C256" s="123"/>
      <c r="D256" s="123"/>
      <c r="E256" s="143"/>
      <c r="F256" s="14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>
      <c r="A257" s="123"/>
      <c r="B257" s="123"/>
      <c r="C257" s="123"/>
      <c r="D257" s="123"/>
      <c r="E257" s="143"/>
      <c r="F257" s="14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>
      <c r="A258" s="123"/>
      <c r="B258" s="123"/>
      <c r="C258" s="123"/>
      <c r="D258" s="123"/>
      <c r="E258" s="143"/>
      <c r="F258" s="14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>
      <c r="A259" s="123"/>
      <c r="B259" s="123"/>
      <c r="C259" s="123"/>
      <c r="D259" s="123"/>
      <c r="E259" s="143"/>
      <c r="F259" s="14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>
      <c r="A260" s="123"/>
      <c r="B260" s="123"/>
      <c r="C260" s="123"/>
      <c r="D260" s="123"/>
      <c r="E260" s="143"/>
      <c r="F260" s="14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>
      <c r="A261" s="123"/>
      <c r="B261" s="123"/>
      <c r="C261" s="123"/>
      <c r="D261" s="123"/>
      <c r="E261" s="143"/>
      <c r="F261" s="14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>
      <c r="A262" s="123"/>
      <c r="B262" s="123"/>
      <c r="C262" s="123"/>
      <c r="D262" s="123"/>
      <c r="E262" s="143"/>
      <c r="F262" s="14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>
      <c r="A263" s="123"/>
      <c r="B263" s="123"/>
      <c r="C263" s="123"/>
      <c r="D263" s="123"/>
      <c r="E263" s="143"/>
      <c r="F263" s="14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>
      <c r="A264" s="123"/>
      <c r="B264" s="123"/>
      <c r="C264" s="123"/>
      <c r="D264" s="123"/>
      <c r="E264" s="143"/>
      <c r="F264" s="14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>
      <c r="A265" s="123"/>
      <c r="B265" s="123"/>
      <c r="C265" s="123"/>
      <c r="D265" s="123"/>
      <c r="E265" s="143"/>
      <c r="F265" s="14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>
      <c r="A266" s="123"/>
      <c r="B266" s="123"/>
      <c r="C266" s="123"/>
      <c r="D266" s="123"/>
      <c r="E266" s="143"/>
      <c r="F266" s="14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>
      <c r="A267" s="123"/>
      <c r="B267" s="123"/>
      <c r="C267" s="123"/>
      <c r="D267" s="123"/>
      <c r="E267" s="143"/>
      <c r="F267" s="14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>
      <c r="A268" s="123"/>
      <c r="B268" s="123"/>
      <c r="C268" s="123"/>
      <c r="D268" s="123"/>
      <c r="E268" s="143"/>
      <c r="F268" s="14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>
      <c r="A269" s="123"/>
      <c r="B269" s="123"/>
      <c r="C269" s="123"/>
      <c r="D269" s="123"/>
      <c r="E269" s="143"/>
      <c r="F269" s="14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>
      <c r="A270" s="123"/>
      <c r="B270" s="123"/>
      <c r="C270" s="123"/>
      <c r="D270" s="123"/>
      <c r="E270" s="143"/>
      <c r="F270" s="14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>
      <c r="A271" s="123"/>
      <c r="B271" s="123"/>
      <c r="C271" s="123"/>
      <c r="D271" s="123"/>
      <c r="E271" s="143"/>
      <c r="F271" s="14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>
      <c r="A272" s="123"/>
      <c r="B272" s="123"/>
      <c r="C272" s="123"/>
      <c r="D272" s="123"/>
      <c r="E272" s="143"/>
      <c r="F272" s="14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>
      <c r="A273" s="123"/>
      <c r="B273" s="123"/>
      <c r="C273" s="123"/>
      <c r="D273" s="123"/>
      <c r="E273" s="143"/>
      <c r="F273" s="14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>
      <c r="A274" s="123"/>
      <c r="B274" s="123"/>
      <c r="C274" s="123"/>
      <c r="D274" s="123"/>
      <c r="E274" s="143"/>
      <c r="F274" s="14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>
      <c r="A275" s="123"/>
      <c r="B275" s="123"/>
      <c r="C275" s="123"/>
      <c r="D275" s="123"/>
      <c r="E275" s="143"/>
      <c r="F275" s="14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>
      <c r="A276" s="123"/>
      <c r="B276" s="123"/>
      <c r="C276" s="123"/>
      <c r="D276" s="123"/>
      <c r="E276" s="143"/>
      <c r="F276" s="14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>
      <c r="A277" s="123"/>
      <c r="B277" s="123"/>
      <c r="C277" s="123"/>
      <c r="D277" s="123"/>
      <c r="E277" s="143"/>
      <c r="F277" s="14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>
      <c r="A278" s="123"/>
      <c r="B278" s="123"/>
      <c r="C278" s="123"/>
      <c r="D278" s="123"/>
      <c r="E278" s="143"/>
      <c r="F278" s="14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>
      <c r="A279" s="123"/>
      <c r="B279" s="123"/>
      <c r="C279" s="123"/>
      <c r="D279" s="123"/>
      <c r="E279" s="143"/>
      <c r="F279" s="14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>
      <c r="A280" s="123"/>
      <c r="B280" s="123"/>
      <c r="C280" s="123"/>
      <c r="D280" s="123"/>
      <c r="E280" s="143"/>
      <c r="F280" s="14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>
      <c r="A281" s="123"/>
      <c r="B281" s="123"/>
      <c r="C281" s="123"/>
      <c r="D281" s="123"/>
      <c r="E281" s="143"/>
      <c r="F281" s="14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>
      <c r="A282" s="123"/>
      <c r="B282" s="123"/>
      <c r="C282" s="123"/>
      <c r="D282" s="123"/>
      <c r="E282" s="143"/>
      <c r="F282" s="14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>
      <c r="A283" s="123"/>
      <c r="B283" s="123"/>
      <c r="C283" s="123"/>
      <c r="D283" s="123"/>
      <c r="E283" s="143"/>
      <c r="F283" s="14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>
      <c r="A284" s="123"/>
      <c r="B284" s="123"/>
      <c r="C284" s="123"/>
      <c r="D284" s="123"/>
      <c r="E284" s="143"/>
      <c r="F284" s="14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>
      <c r="A285" s="123"/>
      <c r="B285" s="123"/>
      <c r="C285" s="123"/>
      <c r="D285" s="123"/>
      <c r="E285" s="143"/>
      <c r="F285" s="14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>
      <c r="A286" s="123"/>
      <c r="B286" s="123"/>
      <c r="C286" s="123"/>
      <c r="D286" s="123"/>
      <c r="E286" s="143"/>
      <c r="F286" s="14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>
      <c r="A287" s="123"/>
      <c r="B287" s="123"/>
      <c r="C287" s="123"/>
      <c r="D287" s="123"/>
      <c r="E287" s="143"/>
      <c r="F287" s="14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>
      <c r="A288" s="123"/>
      <c r="B288" s="123"/>
      <c r="C288" s="123"/>
      <c r="D288" s="123"/>
      <c r="E288" s="143"/>
      <c r="F288" s="14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>
      <c r="A289" s="123"/>
      <c r="B289" s="123"/>
      <c r="C289" s="123"/>
      <c r="D289" s="123"/>
      <c r="E289" s="143"/>
      <c r="F289" s="14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>
      <c r="A290" s="123"/>
      <c r="B290" s="123"/>
      <c r="C290" s="123"/>
      <c r="D290" s="123"/>
      <c r="E290" s="143"/>
      <c r="F290" s="14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>
      <c r="A291" s="123"/>
      <c r="B291" s="123"/>
      <c r="C291" s="123"/>
      <c r="D291" s="123"/>
      <c r="E291" s="143"/>
      <c r="F291" s="14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>
      <c r="A292" s="123"/>
      <c r="B292" s="123"/>
      <c r="C292" s="123"/>
      <c r="D292" s="123"/>
      <c r="E292" s="143"/>
      <c r="F292" s="14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>
      <c r="A293" s="123"/>
      <c r="B293" s="123"/>
      <c r="C293" s="123"/>
      <c r="D293" s="123"/>
      <c r="E293" s="143"/>
      <c r="F293" s="14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>
      <c r="A294" s="123"/>
      <c r="B294" s="123"/>
      <c r="C294" s="123"/>
      <c r="D294" s="123"/>
      <c r="E294" s="143"/>
      <c r="F294" s="14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>
      <c r="A295" s="123"/>
      <c r="B295" s="123"/>
      <c r="C295" s="123"/>
      <c r="D295" s="123"/>
      <c r="E295" s="143"/>
      <c r="F295" s="14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>
      <c r="A296" s="123"/>
      <c r="B296" s="123"/>
      <c r="C296" s="123"/>
      <c r="D296" s="123"/>
      <c r="E296" s="143"/>
      <c r="F296" s="14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>
      <c r="A297" s="123"/>
      <c r="B297" s="123"/>
      <c r="C297" s="123"/>
      <c r="D297" s="123"/>
      <c r="E297" s="143"/>
      <c r="F297" s="14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>
      <c r="A298" s="123"/>
      <c r="B298" s="123"/>
      <c r="C298" s="123"/>
      <c r="D298" s="123"/>
      <c r="E298" s="143"/>
      <c r="F298" s="14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>
      <c r="A299" s="123"/>
      <c r="B299" s="123"/>
      <c r="C299" s="123"/>
      <c r="D299" s="123"/>
      <c r="E299" s="143"/>
      <c r="F299" s="14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>
      <c r="A300" s="123"/>
      <c r="B300" s="123"/>
      <c r="C300" s="123"/>
      <c r="D300" s="123"/>
      <c r="E300" s="143"/>
      <c r="F300" s="14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>
      <c r="A301" s="123"/>
      <c r="B301" s="123"/>
      <c r="C301" s="123"/>
      <c r="D301" s="123"/>
      <c r="E301" s="143"/>
      <c r="F301" s="14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>
      <c r="A302" s="123"/>
      <c r="B302" s="123"/>
      <c r="C302" s="123"/>
      <c r="D302" s="123"/>
      <c r="E302" s="143"/>
      <c r="F302" s="14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>
      <c r="A303" s="123"/>
      <c r="B303" s="123"/>
      <c r="C303" s="123"/>
      <c r="D303" s="123"/>
      <c r="E303" s="143"/>
      <c r="F303" s="14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>
      <c r="A304" s="123"/>
      <c r="B304" s="123"/>
      <c r="C304" s="123"/>
      <c r="D304" s="123"/>
      <c r="E304" s="143"/>
      <c r="F304" s="14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>
      <c r="A305" s="123"/>
      <c r="B305" s="123"/>
      <c r="C305" s="123"/>
      <c r="D305" s="123"/>
      <c r="E305" s="143"/>
      <c r="F305" s="14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>
      <c r="A306" s="123"/>
      <c r="B306" s="123"/>
      <c r="C306" s="123"/>
      <c r="D306" s="123"/>
      <c r="E306" s="143"/>
      <c r="F306" s="14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>
      <c r="A307" s="123"/>
      <c r="B307" s="123"/>
      <c r="C307" s="123"/>
      <c r="D307" s="123"/>
      <c r="E307" s="143"/>
      <c r="F307" s="14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>
      <c r="A308" s="123"/>
      <c r="B308" s="123"/>
      <c r="C308" s="123"/>
      <c r="D308" s="123"/>
      <c r="E308" s="143"/>
      <c r="F308" s="14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>
      <c r="A309" s="123"/>
      <c r="B309" s="123"/>
      <c r="C309" s="123"/>
      <c r="D309" s="123"/>
      <c r="E309" s="143"/>
      <c r="F309" s="14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>
      <c r="A310" s="123"/>
      <c r="B310" s="123"/>
      <c r="C310" s="123"/>
      <c r="D310" s="123"/>
      <c r="E310" s="143"/>
      <c r="F310" s="14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>
      <c r="A311" s="123"/>
      <c r="B311" s="123"/>
      <c r="C311" s="123"/>
      <c r="D311" s="123"/>
      <c r="E311" s="143"/>
      <c r="F311" s="14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>
      <c r="A312" s="123"/>
      <c r="B312" s="123"/>
      <c r="C312" s="123"/>
      <c r="D312" s="123"/>
      <c r="E312" s="143"/>
      <c r="F312" s="14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>
      <c r="A313" s="123"/>
      <c r="B313" s="123"/>
      <c r="C313" s="123"/>
      <c r="D313" s="123"/>
      <c r="E313" s="143"/>
      <c r="F313" s="14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>
      <c r="A314" s="123"/>
      <c r="B314" s="123"/>
      <c r="C314" s="123"/>
      <c r="D314" s="123"/>
      <c r="E314" s="143"/>
      <c r="F314" s="14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>
      <c r="A315" s="123"/>
      <c r="B315" s="123"/>
      <c r="C315" s="123"/>
      <c r="D315" s="123"/>
      <c r="E315" s="143"/>
      <c r="F315" s="14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>
      <c r="A316" s="123"/>
      <c r="B316" s="123"/>
      <c r="C316" s="123"/>
      <c r="D316" s="123"/>
      <c r="E316" s="143"/>
      <c r="F316" s="14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>
      <c r="A317" s="123"/>
      <c r="B317" s="123"/>
      <c r="C317" s="123"/>
      <c r="D317" s="123"/>
      <c r="E317" s="143"/>
      <c r="F317" s="14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>
      <c r="A318" s="123"/>
      <c r="B318" s="123"/>
      <c r="C318" s="123"/>
      <c r="D318" s="123"/>
      <c r="E318" s="143"/>
      <c r="F318" s="14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>
      <c r="A319" s="123"/>
      <c r="B319" s="123"/>
      <c r="C319" s="123"/>
      <c r="D319" s="123"/>
      <c r="E319" s="143"/>
      <c r="F319" s="14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>
      <c r="A320" s="123"/>
      <c r="B320" s="123"/>
      <c r="C320" s="123"/>
      <c r="D320" s="123"/>
      <c r="E320" s="143"/>
      <c r="F320" s="14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>
      <c r="A321" s="123"/>
      <c r="B321" s="123"/>
      <c r="C321" s="123"/>
      <c r="D321" s="123"/>
      <c r="E321" s="143"/>
      <c r="F321" s="14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>
      <c r="A322" s="123"/>
      <c r="B322" s="123"/>
      <c r="C322" s="123"/>
      <c r="D322" s="123"/>
      <c r="E322" s="143"/>
      <c r="F322" s="14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>
      <c r="A323" s="123"/>
      <c r="B323" s="123"/>
      <c r="C323" s="123"/>
      <c r="D323" s="123"/>
      <c r="E323" s="143"/>
      <c r="F323" s="14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>
      <c r="A324" s="123"/>
      <c r="B324" s="123"/>
      <c r="C324" s="123"/>
      <c r="D324" s="123"/>
      <c r="E324" s="143"/>
      <c r="F324" s="14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>
      <c r="A325" s="123"/>
      <c r="B325" s="123"/>
      <c r="C325" s="123"/>
      <c r="D325" s="123"/>
      <c r="E325" s="143"/>
      <c r="F325" s="14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>
      <c r="A326" s="123"/>
      <c r="B326" s="123"/>
      <c r="C326" s="123"/>
      <c r="D326" s="123"/>
      <c r="E326" s="143"/>
      <c r="F326" s="14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>
      <c r="A327" s="123"/>
      <c r="B327" s="123"/>
      <c r="C327" s="123"/>
      <c r="D327" s="123"/>
      <c r="E327" s="143"/>
      <c r="F327" s="14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>
      <c r="A328" s="123"/>
      <c r="B328" s="123"/>
      <c r="C328" s="123"/>
      <c r="D328" s="123"/>
      <c r="E328" s="143"/>
      <c r="F328" s="14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>
      <c r="A329" s="123"/>
      <c r="B329" s="123"/>
      <c r="C329" s="123"/>
      <c r="D329" s="123"/>
      <c r="E329" s="143"/>
      <c r="F329" s="14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>
      <c r="A330" s="123"/>
      <c r="B330" s="123"/>
      <c r="C330" s="123"/>
      <c r="D330" s="123"/>
      <c r="E330" s="143"/>
      <c r="F330" s="14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>
      <c r="A331" s="123"/>
      <c r="B331" s="123"/>
      <c r="C331" s="123"/>
      <c r="D331" s="123"/>
      <c r="E331" s="143"/>
      <c r="F331" s="14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>
      <c r="A332" s="123"/>
      <c r="B332" s="123"/>
      <c r="C332" s="123"/>
      <c r="D332" s="123"/>
      <c r="E332" s="143"/>
      <c r="F332" s="14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>
      <c r="A333" s="123"/>
      <c r="B333" s="123"/>
      <c r="C333" s="123"/>
      <c r="D333" s="123"/>
      <c r="E333" s="143"/>
      <c r="F333" s="14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>
      <c r="A334" s="123"/>
      <c r="B334" s="123"/>
      <c r="C334" s="123"/>
      <c r="D334" s="123"/>
      <c r="E334" s="143"/>
      <c r="F334" s="14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>
      <c r="A335" s="123"/>
      <c r="B335" s="123"/>
      <c r="C335" s="123"/>
      <c r="D335" s="123"/>
      <c r="E335" s="143"/>
      <c r="F335" s="14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>
      <c r="A336" s="123"/>
      <c r="B336" s="123"/>
      <c r="C336" s="123"/>
      <c r="D336" s="123"/>
      <c r="E336" s="143"/>
      <c r="F336" s="14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>
      <c r="A337" s="123"/>
      <c r="B337" s="123"/>
      <c r="C337" s="123"/>
      <c r="D337" s="123"/>
      <c r="E337" s="143"/>
      <c r="F337" s="14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>
      <c r="A338" s="123"/>
      <c r="B338" s="123"/>
      <c r="C338" s="123"/>
      <c r="D338" s="123"/>
      <c r="E338" s="143"/>
      <c r="F338" s="14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>
      <c r="A339" s="123"/>
      <c r="B339" s="123"/>
      <c r="C339" s="123"/>
      <c r="D339" s="123"/>
      <c r="E339" s="143"/>
      <c r="F339" s="14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>
      <c r="A340" s="123"/>
      <c r="B340" s="123"/>
      <c r="C340" s="123"/>
      <c r="D340" s="123"/>
      <c r="E340" s="143"/>
      <c r="F340" s="14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>
      <c r="A341" s="123"/>
      <c r="B341" s="123"/>
      <c r="C341" s="123"/>
      <c r="D341" s="123"/>
      <c r="E341" s="143"/>
      <c r="F341" s="14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>
      <c r="A342" s="123"/>
      <c r="B342" s="123"/>
      <c r="C342" s="123"/>
      <c r="D342" s="123"/>
      <c r="E342" s="143"/>
      <c r="F342" s="14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>
      <c r="A343" s="123"/>
      <c r="B343" s="123"/>
      <c r="C343" s="123"/>
      <c r="D343" s="123"/>
      <c r="E343" s="143"/>
      <c r="F343" s="14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>
      <c r="A344" s="123"/>
      <c r="B344" s="123"/>
      <c r="C344" s="123"/>
      <c r="D344" s="123"/>
      <c r="E344" s="143"/>
      <c r="F344" s="14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>
      <c r="A345" s="123"/>
      <c r="B345" s="123"/>
      <c r="C345" s="123"/>
      <c r="D345" s="123"/>
      <c r="E345" s="143"/>
      <c r="F345" s="14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>
      <c r="A346" s="123"/>
      <c r="B346" s="123"/>
      <c r="C346" s="123"/>
      <c r="D346" s="123"/>
      <c r="E346" s="143"/>
      <c r="F346" s="14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>
      <c r="A347" s="123"/>
      <c r="B347" s="123"/>
      <c r="C347" s="123"/>
      <c r="D347" s="123"/>
      <c r="E347" s="143"/>
      <c r="F347" s="14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>
      <c r="A348" s="123"/>
      <c r="B348" s="123"/>
      <c r="C348" s="123"/>
      <c r="D348" s="123"/>
      <c r="E348" s="143"/>
      <c r="F348" s="14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>
      <c r="A349" s="123"/>
      <c r="B349" s="123"/>
      <c r="C349" s="123"/>
      <c r="D349" s="123"/>
      <c r="E349" s="143"/>
      <c r="F349" s="14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>
      <c r="A350" s="123"/>
      <c r="B350" s="123"/>
      <c r="C350" s="123"/>
      <c r="D350" s="123"/>
      <c r="E350" s="143"/>
      <c r="F350" s="14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>
      <c r="A351" s="123"/>
      <c r="B351" s="123"/>
      <c r="C351" s="123"/>
      <c r="D351" s="123"/>
      <c r="E351" s="143"/>
      <c r="F351" s="14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>
      <c r="A352" s="123"/>
      <c r="B352" s="123"/>
      <c r="C352" s="123"/>
      <c r="D352" s="123"/>
      <c r="E352" s="143"/>
      <c r="F352" s="14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>
      <c r="A353" s="123"/>
      <c r="B353" s="123"/>
      <c r="C353" s="123"/>
      <c r="D353" s="123"/>
      <c r="E353" s="143"/>
      <c r="F353" s="14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>
      <c r="A354" s="123"/>
      <c r="B354" s="123"/>
      <c r="C354" s="123"/>
      <c r="D354" s="123"/>
      <c r="E354" s="143"/>
      <c r="F354" s="14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>
      <c r="A355" s="123"/>
      <c r="B355" s="123"/>
      <c r="C355" s="123"/>
      <c r="D355" s="123"/>
      <c r="E355" s="143"/>
      <c r="F355" s="14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>
      <c r="A356" s="123"/>
      <c r="B356" s="123"/>
      <c r="C356" s="123"/>
      <c r="D356" s="123"/>
      <c r="E356" s="143"/>
      <c r="F356" s="14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>
      <c r="A357" s="123"/>
      <c r="B357" s="123"/>
      <c r="C357" s="123"/>
      <c r="D357" s="123"/>
      <c r="E357" s="143"/>
      <c r="F357" s="14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>
      <c r="A358" s="123"/>
      <c r="B358" s="123"/>
      <c r="C358" s="123"/>
      <c r="D358" s="123"/>
      <c r="E358" s="143"/>
      <c r="F358" s="14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>
      <c r="A359" s="123"/>
      <c r="B359" s="123"/>
      <c r="C359" s="123"/>
      <c r="D359" s="123"/>
      <c r="E359" s="143"/>
      <c r="F359" s="14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>
      <c r="A360" s="123"/>
      <c r="B360" s="123"/>
      <c r="C360" s="123"/>
      <c r="D360" s="123"/>
      <c r="E360" s="143"/>
      <c r="F360" s="14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>
      <c r="A361" s="123"/>
      <c r="B361" s="123"/>
      <c r="C361" s="123"/>
      <c r="D361" s="123"/>
      <c r="E361" s="143"/>
      <c r="F361" s="14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>
      <c r="A362" s="123"/>
      <c r="B362" s="123"/>
      <c r="C362" s="123"/>
      <c r="D362" s="123"/>
      <c r="E362" s="143"/>
      <c r="F362" s="14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>
      <c r="A363" s="123"/>
      <c r="B363" s="123"/>
      <c r="C363" s="123"/>
      <c r="D363" s="123"/>
      <c r="E363" s="143"/>
      <c r="F363" s="14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>
      <c r="A364" s="123"/>
      <c r="B364" s="123"/>
      <c r="C364" s="123"/>
      <c r="D364" s="123"/>
      <c r="E364" s="143"/>
      <c r="F364" s="14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>
      <c r="A365" s="123"/>
      <c r="B365" s="123"/>
      <c r="C365" s="123"/>
      <c r="D365" s="123"/>
      <c r="E365" s="143"/>
      <c r="F365" s="14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>
      <c r="A366" s="123"/>
      <c r="B366" s="123"/>
      <c r="C366" s="123"/>
      <c r="D366" s="123"/>
      <c r="E366" s="143"/>
      <c r="F366" s="14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>
      <c r="A367" s="123"/>
      <c r="B367" s="123"/>
      <c r="C367" s="123"/>
      <c r="D367" s="123"/>
      <c r="E367" s="143"/>
      <c r="F367" s="14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>
      <c r="A368" s="123"/>
      <c r="B368" s="123"/>
      <c r="C368" s="123"/>
      <c r="D368" s="123"/>
      <c r="E368" s="143"/>
      <c r="F368" s="14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>
      <c r="A369" s="123"/>
      <c r="B369" s="123"/>
      <c r="C369" s="123"/>
      <c r="D369" s="123"/>
      <c r="E369" s="143"/>
      <c r="F369" s="14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>
      <c r="A370" s="123"/>
      <c r="B370" s="123"/>
      <c r="C370" s="123"/>
      <c r="D370" s="123"/>
      <c r="E370" s="143"/>
      <c r="F370" s="14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>
      <c r="A371" s="123"/>
      <c r="B371" s="123"/>
      <c r="C371" s="123"/>
      <c r="D371" s="123"/>
      <c r="E371" s="143"/>
      <c r="F371" s="14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>
      <c r="A372" s="123"/>
      <c r="B372" s="123"/>
      <c r="C372" s="123"/>
      <c r="D372" s="123"/>
      <c r="E372" s="143"/>
      <c r="F372" s="14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>
      <c r="A373" s="123"/>
      <c r="B373" s="123"/>
      <c r="C373" s="123"/>
      <c r="D373" s="123"/>
      <c r="E373" s="143"/>
      <c r="F373" s="14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>
      <c r="A374" s="123"/>
      <c r="B374" s="123"/>
      <c r="C374" s="123"/>
      <c r="D374" s="123"/>
      <c r="E374" s="143"/>
      <c r="F374" s="14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>
      <c r="A375" s="123"/>
      <c r="B375" s="123"/>
      <c r="C375" s="123"/>
      <c r="D375" s="123"/>
      <c r="E375" s="143"/>
      <c r="F375" s="14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>
      <c r="A376" s="123"/>
      <c r="B376" s="123"/>
      <c r="C376" s="123"/>
      <c r="D376" s="123"/>
      <c r="E376" s="143"/>
      <c r="F376" s="14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>
      <c r="A377" s="123"/>
      <c r="B377" s="123"/>
      <c r="C377" s="123"/>
      <c r="D377" s="123"/>
      <c r="E377" s="143"/>
      <c r="F377" s="14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>
      <c r="A378" s="123"/>
      <c r="B378" s="123"/>
      <c r="C378" s="123"/>
      <c r="D378" s="123"/>
      <c r="E378" s="143"/>
      <c r="F378" s="14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>
      <c r="A379" s="123"/>
      <c r="B379" s="123"/>
      <c r="C379" s="123"/>
      <c r="D379" s="123"/>
      <c r="E379" s="143"/>
      <c r="F379" s="14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>
      <c r="A380" s="123"/>
      <c r="B380" s="123"/>
      <c r="C380" s="123"/>
      <c r="D380" s="123"/>
      <c r="E380" s="143"/>
      <c r="F380" s="14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>
      <c r="A381" s="123"/>
      <c r="B381" s="123"/>
      <c r="C381" s="123"/>
      <c r="D381" s="123"/>
      <c r="E381" s="143"/>
      <c r="F381" s="14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>
      <c r="A382" s="123"/>
      <c r="B382" s="123"/>
      <c r="C382" s="123"/>
      <c r="D382" s="123"/>
      <c r="E382" s="143"/>
      <c r="F382" s="14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>
      <c r="A383" s="123"/>
      <c r="B383" s="123"/>
      <c r="C383" s="123"/>
      <c r="D383" s="123"/>
      <c r="E383" s="143"/>
      <c r="F383" s="14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>
      <c r="A384" s="123"/>
      <c r="B384" s="123"/>
      <c r="C384" s="123"/>
      <c r="D384" s="123"/>
      <c r="E384" s="143"/>
      <c r="F384" s="14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>
      <c r="A385" s="123"/>
      <c r="B385" s="123"/>
      <c r="C385" s="123"/>
      <c r="D385" s="123"/>
      <c r="E385" s="143"/>
      <c r="F385" s="14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>
      <c r="A386" s="123"/>
      <c r="B386" s="123"/>
      <c r="C386" s="123"/>
      <c r="D386" s="123"/>
      <c r="E386" s="143"/>
      <c r="F386" s="14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>
      <c r="A387" s="123"/>
      <c r="B387" s="123"/>
      <c r="C387" s="123"/>
      <c r="D387" s="123"/>
      <c r="E387" s="143"/>
      <c r="F387" s="14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>
      <c r="A388" s="123"/>
      <c r="B388" s="123"/>
      <c r="C388" s="123"/>
      <c r="D388" s="123"/>
      <c r="E388" s="143"/>
      <c r="F388" s="14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>
      <c r="A389" s="123"/>
      <c r="B389" s="123"/>
      <c r="C389" s="123"/>
      <c r="D389" s="123"/>
      <c r="E389" s="143"/>
      <c r="F389" s="14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>
      <c r="A390" s="123"/>
      <c r="B390" s="123"/>
      <c r="C390" s="123"/>
      <c r="D390" s="123"/>
      <c r="E390" s="143"/>
      <c r="F390" s="14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>
      <c r="A391" s="123"/>
      <c r="B391" s="123"/>
      <c r="C391" s="123"/>
      <c r="D391" s="123"/>
      <c r="E391" s="143"/>
      <c r="F391" s="14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>
      <c r="A392" s="123"/>
      <c r="B392" s="123"/>
      <c r="C392" s="123"/>
      <c r="D392" s="123"/>
      <c r="E392" s="143"/>
      <c r="F392" s="14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>
      <c r="A393" s="123"/>
      <c r="B393" s="123"/>
      <c r="C393" s="123"/>
      <c r="D393" s="123"/>
      <c r="E393" s="143"/>
      <c r="F393" s="14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>
      <c r="A394" s="123"/>
      <c r="B394" s="123"/>
      <c r="C394" s="123"/>
      <c r="D394" s="123"/>
      <c r="E394" s="143"/>
      <c r="F394" s="14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>
      <c r="A395" s="123"/>
      <c r="B395" s="123"/>
      <c r="C395" s="123"/>
      <c r="D395" s="123"/>
      <c r="E395" s="143"/>
      <c r="F395" s="14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>
      <c r="A396" s="123"/>
      <c r="B396" s="123"/>
      <c r="C396" s="123"/>
      <c r="D396" s="123"/>
      <c r="E396" s="143"/>
      <c r="F396" s="14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>
      <c r="A397" s="123"/>
      <c r="B397" s="123"/>
      <c r="C397" s="123"/>
      <c r="D397" s="123"/>
      <c r="E397" s="143"/>
      <c r="F397" s="14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>
      <c r="A398" s="123"/>
      <c r="B398" s="123"/>
      <c r="C398" s="123"/>
      <c r="D398" s="123"/>
      <c r="E398" s="143"/>
      <c r="F398" s="14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>
      <c r="A399" s="123"/>
      <c r="B399" s="123"/>
      <c r="C399" s="123"/>
      <c r="D399" s="123"/>
      <c r="E399" s="143"/>
      <c r="F399" s="14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>
      <c r="A400" s="123"/>
      <c r="B400" s="123"/>
      <c r="C400" s="123"/>
      <c r="D400" s="123"/>
      <c r="E400" s="143"/>
      <c r="F400" s="14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>
      <c r="A401" s="123"/>
      <c r="B401" s="123"/>
      <c r="C401" s="123"/>
      <c r="D401" s="123"/>
      <c r="E401" s="143"/>
      <c r="F401" s="14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>
      <c r="A402" s="123"/>
      <c r="B402" s="123"/>
      <c r="C402" s="123"/>
      <c r="D402" s="123"/>
      <c r="E402" s="143"/>
      <c r="F402" s="14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>
      <c r="A403" s="123"/>
      <c r="B403" s="123"/>
      <c r="C403" s="123"/>
      <c r="D403" s="123"/>
      <c r="E403" s="143"/>
      <c r="F403" s="14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>
      <c r="A404" s="123"/>
      <c r="B404" s="123"/>
      <c r="C404" s="123"/>
      <c r="D404" s="123"/>
      <c r="E404" s="143"/>
      <c r="F404" s="14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>
      <c r="A405" s="123"/>
      <c r="B405" s="123"/>
      <c r="C405" s="123"/>
      <c r="D405" s="123"/>
      <c r="E405" s="143"/>
      <c r="F405" s="14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>
      <c r="A406" s="123"/>
      <c r="B406" s="123"/>
      <c r="C406" s="123"/>
      <c r="D406" s="123"/>
      <c r="E406" s="143"/>
      <c r="F406" s="14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>
      <c r="A407" s="123"/>
      <c r="B407" s="123"/>
      <c r="C407" s="123"/>
      <c r="D407" s="123"/>
      <c r="E407" s="143"/>
      <c r="F407" s="14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>
      <c r="A408" s="123"/>
      <c r="B408" s="123"/>
      <c r="C408" s="123"/>
      <c r="D408" s="123"/>
      <c r="E408" s="143"/>
      <c r="F408" s="14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>
      <c r="A409" s="123"/>
      <c r="B409" s="123"/>
      <c r="C409" s="123"/>
      <c r="D409" s="123"/>
      <c r="E409" s="143"/>
      <c r="F409" s="14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>
      <c r="A410" s="123"/>
      <c r="B410" s="123"/>
      <c r="C410" s="123"/>
      <c r="D410" s="123"/>
      <c r="E410" s="143"/>
      <c r="F410" s="14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>
      <c r="A411" s="123"/>
      <c r="B411" s="123"/>
      <c r="C411" s="123"/>
      <c r="D411" s="123"/>
      <c r="E411" s="143"/>
      <c r="F411" s="14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>
      <c r="A412" s="123"/>
      <c r="B412" s="123"/>
      <c r="C412" s="123"/>
      <c r="D412" s="123"/>
      <c r="E412" s="143"/>
      <c r="F412" s="14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>
      <c r="A413" s="123"/>
      <c r="B413" s="123"/>
      <c r="C413" s="123"/>
      <c r="D413" s="123"/>
      <c r="E413" s="143"/>
      <c r="F413" s="14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>
      <c r="A414" s="123"/>
      <c r="B414" s="123"/>
      <c r="C414" s="123"/>
      <c r="D414" s="123"/>
      <c r="E414" s="143"/>
      <c r="F414" s="14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>
      <c r="A415" s="123"/>
      <c r="B415" s="123"/>
      <c r="C415" s="123"/>
      <c r="D415" s="123"/>
      <c r="E415" s="143"/>
      <c r="F415" s="14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>
      <c r="A416" s="123"/>
      <c r="B416" s="123"/>
      <c r="C416" s="123"/>
      <c r="D416" s="123"/>
      <c r="E416" s="143"/>
      <c r="F416" s="14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>
      <c r="A417" s="123"/>
      <c r="B417" s="123"/>
      <c r="C417" s="123"/>
      <c r="D417" s="123"/>
      <c r="E417" s="143"/>
      <c r="F417" s="14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>
      <c r="A418" s="123"/>
      <c r="B418" s="123"/>
      <c r="C418" s="123"/>
      <c r="D418" s="123"/>
      <c r="E418" s="143"/>
      <c r="F418" s="14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>
      <c r="A419" s="123"/>
      <c r="B419" s="123"/>
      <c r="C419" s="123"/>
      <c r="D419" s="123"/>
      <c r="E419" s="143"/>
      <c r="F419" s="14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>
      <c r="A420" s="123"/>
      <c r="B420" s="123"/>
      <c r="C420" s="123"/>
      <c r="D420" s="123"/>
      <c r="E420" s="143"/>
      <c r="F420" s="14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>
      <c r="A421" s="123"/>
      <c r="B421" s="123"/>
      <c r="C421" s="123"/>
      <c r="D421" s="123"/>
      <c r="E421" s="143"/>
      <c r="F421" s="14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>
      <c r="A422" s="123"/>
      <c r="B422" s="123"/>
      <c r="C422" s="123"/>
      <c r="D422" s="123"/>
      <c r="E422" s="143"/>
      <c r="F422" s="14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>
      <c r="A423" s="123"/>
      <c r="B423" s="123"/>
      <c r="C423" s="123"/>
      <c r="D423" s="123"/>
      <c r="E423" s="143"/>
      <c r="F423" s="14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>
      <c r="A424" s="123"/>
      <c r="B424" s="123"/>
      <c r="C424" s="123"/>
      <c r="D424" s="123"/>
      <c r="E424" s="143"/>
      <c r="F424" s="14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>
      <c r="A425" s="123"/>
      <c r="B425" s="123"/>
      <c r="C425" s="123"/>
      <c r="D425" s="123"/>
      <c r="E425" s="143"/>
      <c r="F425" s="14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>
      <c r="A426" s="123"/>
      <c r="B426" s="123"/>
      <c r="C426" s="123"/>
      <c r="D426" s="123"/>
      <c r="E426" s="143"/>
      <c r="F426" s="14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>
      <c r="A427" s="123"/>
      <c r="B427" s="123"/>
      <c r="C427" s="123"/>
      <c r="D427" s="123"/>
      <c r="E427" s="143"/>
      <c r="F427" s="14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>
      <c r="A428" s="123"/>
      <c r="B428" s="123"/>
      <c r="C428" s="123"/>
      <c r="D428" s="123"/>
      <c r="E428" s="143"/>
      <c r="F428" s="14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>
      <c r="A429" s="123"/>
      <c r="B429" s="123"/>
      <c r="C429" s="123"/>
      <c r="D429" s="123"/>
      <c r="E429" s="143"/>
      <c r="F429" s="14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>
      <c r="A430" s="123"/>
      <c r="B430" s="123"/>
      <c r="C430" s="123"/>
      <c r="D430" s="123"/>
      <c r="E430" s="143"/>
      <c r="F430" s="14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>
      <c r="A431" s="123"/>
      <c r="B431" s="123"/>
      <c r="C431" s="123"/>
      <c r="D431" s="123"/>
      <c r="E431" s="143"/>
      <c r="F431" s="14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>
      <c r="A432" s="123"/>
      <c r="B432" s="123"/>
      <c r="C432" s="123"/>
      <c r="D432" s="123"/>
      <c r="E432" s="143"/>
      <c r="F432" s="14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>
      <c r="A433" s="123"/>
      <c r="B433" s="123"/>
      <c r="C433" s="123"/>
      <c r="D433" s="123"/>
      <c r="E433" s="143"/>
      <c r="F433" s="14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>
      <c r="A434" s="123"/>
      <c r="B434" s="123"/>
      <c r="C434" s="123"/>
      <c r="D434" s="123"/>
      <c r="E434" s="143"/>
      <c r="F434" s="14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>
      <c r="A435" s="123"/>
      <c r="B435" s="123"/>
      <c r="C435" s="123"/>
      <c r="D435" s="123"/>
      <c r="E435" s="143"/>
      <c r="F435" s="14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>
      <c r="A436" s="123"/>
      <c r="B436" s="123"/>
      <c r="C436" s="123"/>
      <c r="D436" s="123"/>
      <c r="E436" s="143"/>
      <c r="F436" s="14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>
      <c r="A437" s="123"/>
      <c r="B437" s="123"/>
      <c r="C437" s="123"/>
      <c r="D437" s="123"/>
      <c r="E437" s="143"/>
      <c r="F437" s="14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>
      <c r="A438" s="123"/>
      <c r="B438" s="123"/>
      <c r="C438" s="123"/>
      <c r="D438" s="123"/>
      <c r="E438" s="143"/>
      <c r="F438" s="14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>
      <c r="A439" s="123"/>
      <c r="B439" s="123"/>
      <c r="C439" s="123"/>
      <c r="D439" s="123"/>
      <c r="E439" s="143"/>
      <c r="F439" s="14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>
      <c r="A440" s="123"/>
      <c r="B440" s="123"/>
      <c r="C440" s="123"/>
      <c r="D440" s="123"/>
      <c r="E440" s="143"/>
      <c r="F440" s="14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>
      <c r="A441" s="123"/>
      <c r="B441" s="123"/>
      <c r="C441" s="123"/>
      <c r="D441" s="123"/>
      <c r="E441" s="143"/>
      <c r="F441" s="14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>
      <c r="A442" s="123"/>
      <c r="B442" s="123"/>
      <c r="C442" s="123"/>
      <c r="D442" s="123"/>
      <c r="E442" s="143"/>
      <c r="F442" s="14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>
      <c r="A443" s="123"/>
      <c r="B443" s="123"/>
      <c r="C443" s="123"/>
      <c r="D443" s="123"/>
      <c r="E443" s="143"/>
      <c r="F443" s="14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>
      <c r="A444" s="123"/>
      <c r="B444" s="123"/>
      <c r="C444" s="123"/>
      <c r="D444" s="123"/>
      <c r="E444" s="143"/>
      <c r="F444" s="14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>
      <c r="A445" s="123"/>
      <c r="B445" s="123"/>
      <c r="C445" s="123"/>
      <c r="D445" s="123"/>
      <c r="E445" s="143"/>
      <c r="F445" s="14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>
      <c r="A446" s="123"/>
      <c r="B446" s="123"/>
      <c r="C446" s="123"/>
      <c r="D446" s="123"/>
      <c r="E446" s="143"/>
      <c r="F446" s="14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>
      <c r="A447" s="123"/>
      <c r="B447" s="123"/>
      <c r="C447" s="123"/>
      <c r="D447" s="123"/>
      <c r="E447" s="143"/>
      <c r="F447" s="14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>
      <c r="A448" s="123"/>
      <c r="B448" s="123"/>
      <c r="C448" s="123"/>
      <c r="D448" s="123"/>
      <c r="E448" s="143"/>
      <c r="F448" s="14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>
      <c r="A449" s="123"/>
      <c r="B449" s="123"/>
      <c r="C449" s="123"/>
      <c r="D449" s="123"/>
      <c r="E449" s="143"/>
      <c r="F449" s="14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>
      <c r="A450" s="123"/>
      <c r="B450" s="123"/>
      <c r="C450" s="123"/>
      <c r="D450" s="123"/>
      <c r="E450" s="143"/>
      <c r="F450" s="14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>
      <c r="A451" s="123"/>
      <c r="B451" s="123"/>
      <c r="C451" s="123"/>
      <c r="D451" s="123"/>
      <c r="E451" s="143"/>
      <c r="F451" s="14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>
      <c r="A452" s="123"/>
      <c r="B452" s="123"/>
      <c r="C452" s="123"/>
      <c r="D452" s="123"/>
      <c r="E452" s="143"/>
      <c r="F452" s="14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>
      <c r="A453" s="123"/>
      <c r="B453" s="123"/>
      <c r="C453" s="123"/>
      <c r="D453" s="123"/>
      <c r="E453" s="143"/>
      <c r="F453" s="14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>
      <c r="A454" s="123"/>
      <c r="B454" s="123"/>
      <c r="C454" s="123"/>
      <c r="D454" s="123"/>
      <c r="E454" s="143"/>
      <c r="F454" s="14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>
      <c r="A455" s="123"/>
      <c r="B455" s="123"/>
      <c r="C455" s="123"/>
      <c r="D455" s="123"/>
      <c r="E455" s="143"/>
      <c r="F455" s="14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>
      <c r="A456" s="123"/>
      <c r="B456" s="123"/>
      <c r="C456" s="123"/>
      <c r="D456" s="123"/>
      <c r="E456" s="143"/>
      <c r="F456" s="14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>
      <c r="A457" s="123"/>
      <c r="B457" s="123"/>
      <c r="C457" s="123"/>
      <c r="D457" s="123"/>
      <c r="E457" s="143"/>
      <c r="F457" s="14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>
      <c r="A458" s="123"/>
      <c r="B458" s="123"/>
      <c r="C458" s="123"/>
      <c r="D458" s="123"/>
      <c r="E458" s="143"/>
      <c r="F458" s="14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>
      <c r="A459" s="123"/>
      <c r="B459" s="123"/>
      <c r="C459" s="123"/>
      <c r="D459" s="123"/>
      <c r="E459" s="143"/>
      <c r="F459" s="14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>
      <c r="A460" s="123"/>
      <c r="B460" s="123"/>
      <c r="C460" s="123"/>
      <c r="D460" s="123"/>
      <c r="E460" s="143"/>
      <c r="F460" s="14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>
      <c r="A461" s="123"/>
      <c r="B461" s="123"/>
      <c r="C461" s="123"/>
      <c r="D461" s="123"/>
      <c r="E461" s="143"/>
      <c r="F461" s="14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>
      <c r="A462" s="123"/>
      <c r="B462" s="123"/>
      <c r="C462" s="123"/>
      <c r="D462" s="123"/>
      <c r="E462" s="143"/>
      <c r="F462" s="14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>
      <c r="A463" s="123"/>
      <c r="B463" s="123"/>
      <c r="C463" s="123"/>
      <c r="D463" s="123"/>
      <c r="E463" s="143"/>
      <c r="F463" s="14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>
      <c r="A464" s="123"/>
      <c r="B464" s="123"/>
      <c r="C464" s="123"/>
      <c r="D464" s="123"/>
      <c r="E464" s="143"/>
      <c r="F464" s="14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>
      <c r="A465" s="123"/>
      <c r="B465" s="123"/>
      <c r="C465" s="123"/>
      <c r="D465" s="123"/>
      <c r="E465" s="143"/>
      <c r="F465" s="14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>
      <c r="A466" s="123"/>
      <c r="B466" s="123"/>
      <c r="C466" s="123"/>
      <c r="D466" s="123"/>
      <c r="E466" s="143"/>
      <c r="F466" s="14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>
      <c r="A467" s="123"/>
      <c r="B467" s="123"/>
      <c r="C467" s="123"/>
      <c r="D467" s="123"/>
      <c r="E467" s="143"/>
      <c r="F467" s="14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>
      <c r="A468" s="123"/>
      <c r="B468" s="123"/>
      <c r="C468" s="123"/>
      <c r="D468" s="123"/>
      <c r="E468" s="143"/>
      <c r="F468" s="14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>
      <c r="A469" s="123"/>
      <c r="B469" s="123"/>
      <c r="C469" s="123"/>
      <c r="D469" s="123"/>
      <c r="E469" s="143"/>
      <c r="F469" s="14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>
      <c r="A470" s="123"/>
      <c r="B470" s="123"/>
      <c r="C470" s="123"/>
      <c r="D470" s="123"/>
      <c r="E470" s="143"/>
      <c r="F470" s="14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>
      <c r="A471" s="123"/>
      <c r="B471" s="123"/>
      <c r="C471" s="123"/>
      <c r="D471" s="123"/>
      <c r="E471" s="143"/>
      <c r="F471" s="14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>
      <c r="A472" s="123"/>
      <c r="B472" s="123"/>
      <c r="C472" s="123"/>
      <c r="D472" s="123"/>
      <c r="E472" s="143"/>
      <c r="F472" s="14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>
      <c r="A473" s="123"/>
      <c r="B473" s="123"/>
      <c r="C473" s="123"/>
      <c r="D473" s="123"/>
      <c r="E473" s="143"/>
      <c r="F473" s="14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>
      <c r="A474" s="123"/>
      <c r="B474" s="123"/>
      <c r="C474" s="123"/>
      <c r="D474" s="123"/>
      <c r="E474" s="143"/>
      <c r="F474" s="14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>
      <c r="A475" s="123"/>
      <c r="B475" s="123"/>
      <c r="C475" s="123"/>
      <c r="D475" s="123"/>
      <c r="E475" s="143"/>
      <c r="F475" s="14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>
      <c r="A476" s="123"/>
      <c r="B476" s="123"/>
      <c r="C476" s="123"/>
      <c r="D476" s="123"/>
      <c r="E476" s="143"/>
      <c r="F476" s="14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>
      <c r="A477" s="123"/>
      <c r="B477" s="123"/>
      <c r="C477" s="123"/>
      <c r="D477" s="123"/>
      <c r="E477" s="143"/>
      <c r="F477" s="14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>
      <c r="A478" s="123"/>
      <c r="B478" s="123"/>
      <c r="C478" s="123"/>
      <c r="D478" s="123"/>
      <c r="E478" s="143"/>
      <c r="F478" s="14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>
      <c r="A479" s="123"/>
      <c r="B479" s="123"/>
      <c r="C479" s="123"/>
      <c r="D479" s="123"/>
      <c r="E479" s="143"/>
      <c r="F479" s="14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>
      <c r="A480" s="123"/>
      <c r="B480" s="123"/>
      <c r="C480" s="123"/>
      <c r="D480" s="123"/>
      <c r="E480" s="143"/>
      <c r="F480" s="14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>
      <c r="A481" s="123"/>
      <c r="B481" s="123"/>
      <c r="C481" s="123"/>
      <c r="D481" s="123"/>
      <c r="E481" s="143"/>
      <c r="F481" s="14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>
      <c r="A482" s="123"/>
      <c r="B482" s="123"/>
      <c r="C482" s="123"/>
      <c r="D482" s="123"/>
      <c r="E482" s="143"/>
      <c r="F482" s="14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>
      <c r="A483" s="123"/>
      <c r="B483" s="123"/>
      <c r="C483" s="123"/>
      <c r="D483" s="123"/>
      <c r="E483" s="143"/>
      <c r="F483" s="14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>
      <c r="A484" s="123"/>
      <c r="B484" s="123"/>
      <c r="C484" s="123"/>
      <c r="D484" s="123"/>
      <c r="E484" s="143"/>
      <c r="F484" s="14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>
      <c r="A485" s="123"/>
      <c r="B485" s="123"/>
      <c r="C485" s="123"/>
      <c r="D485" s="123"/>
      <c r="E485" s="143"/>
      <c r="F485" s="14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>
      <c r="A486" s="123"/>
      <c r="B486" s="123"/>
      <c r="C486" s="123"/>
      <c r="D486" s="123"/>
      <c r="E486" s="143"/>
      <c r="F486" s="14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>
      <c r="A487" s="123"/>
      <c r="B487" s="123"/>
      <c r="C487" s="123"/>
      <c r="D487" s="123"/>
      <c r="E487" s="143"/>
      <c r="F487" s="14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>
      <c r="A488" s="123"/>
      <c r="B488" s="123"/>
      <c r="C488" s="123"/>
      <c r="D488" s="123"/>
      <c r="E488" s="143"/>
      <c r="F488" s="14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>
      <c r="A489" s="123"/>
      <c r="B489" s="123"/>
      <c r="C489" s="123"/>
      <c r="D489" s="123"/>
      <c r="E489" s="143"/>
      <c r="F489" s="14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>
      <c r="A490" s="123"/>
      <c r="B490" s="123"/>
      <c r="C490" s="123"/>
      <c r="D490" s="123"/>
      <c r="E490" s="143"/>
      <c r="F490" s="14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>
      <c r="A491" s="123"/>
      <c r="B491" s="123"/>
      <c r="C491" s="123"/>
      <c r="D491" s="123"/>
      <c r="E491" s="143"/>
      <c r="F491" s="14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>
      <c r="A492" s="123"/>
      <c r="B492" s="123"/>
      <c r="C492" s="123"/>
      <c r="D492" s="123"/>
      <c r="E492" s="143"/>
      <c r="F492" s="14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>
      <c r="A493" s="123"/>
      <c r="B493" s="123"/>
      <c r="C493" s="123"/>
      <c r="D493" s="123"/>
      <c r="E493" s="143"/>
      <c r="F493" s="14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>
      <c r="A494" s="123"/>
      <c r="B494" s="123"/>
      <c r="C494" s="123"/>
      <c r="D494" s="123"/>
      <c r="E494" s="143"/>
      <c r="F494" s="14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>
      <c r="A495" s="123"/>
      <c r="B495" s="123"/>
      <c r="C495" s="123"/>
      <c r="D495" s="123"/>
      <c r="E495" s="143"/>
      <c r="F495" s="14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>
      <c r="A496" s="123"/>
      <c r="B496" s="123"/>
      <c r="C496" s="123"/>
      <c r="D496" s="123"/>
      <c r="E496" s="143"/>
      <c r="F496" s="14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>
      <c r="A497" s="123"/>
      <c r="B497" s="123"/>
      <c r="C497" s="123"/>
      <c r="D497" s="123"/>
      <c r="E497" s="143"/>
      <c r="F497" s="14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>
      <c r="A498" s="123"/>
      <c r="B498" s="123"/>
      <c r="C498" s="123"/>
      <c r="D498" s="123"/>
      <c r="E498" s="143"/>
      <c r="F498" s="14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>
      <c r="A499" s="123"/>
      <c r="B499" s="123"/>
      <c r="C499" s="123"/>
      <c r="D499" s="123"/>
      <c r="E499" s="143"/>
      <c r="F499" s="14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>
      <c r="A500" s="123"/>
      <c r="B500" s="123"/>
      <c r="C500" s="123"/>
      <c r="D500" s="123"/>
      <c r="E500" s="143"/>
      <c r="F500" s="14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>
      <c r="A501" s="123"/>
      <c r="B501" s="123"/>
      <c r="C501" s="123"/>
      <c r="D501" s="123"/>
      <c r="E501" s="143"/>
      <c r="F501" s="14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>
      <c r="A502" s="123"/>
      <c r="B502" s="123"/>
      <c r="C502" s="123"/>
      <c r="D502" s="123"/>
      <c r="E502" s="143"/>
      <c r="F502" s="14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>
      <c r="A503" s="123"/>
      <c r="B503" s="123"/>
      <c r="C503" s="123"/>
      <c r="D503" s="123"/>
      <c r="E503" s="143"/>
      <c r="F503" s="14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>
      <c r="A504" s="123"/>
      <c r="B504" s="123"/>
      <c r="C504" s="123"/>
      <c r="D504" s="123"/>
      <c r="E504" s="143"/>
      <c r="F504" s="14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>
      <c r="A505" s="123"/>
      <c r="B505" s="123"/>
      <c r="C505" s="123"/>
      <c r="D505" s="123"/>
      <c r="E505" s="143"/>
      <c r="F505" s="14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>
      <c r="A506" s="123"/>
      <c r="B506" s="123"/>
      <c r="C506" s="123"/>
      <c r="D506" s="123"/>
      <c r="E506" s="143"/>
      <c r="F506" s="14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>
      <c r="A507" s="123"/>
      <c r="B507" s="123"/>
      <c r="C507" s="123"/>
      <c r="D507" s="123"/>
      <c r="E507" s="143"/>
      <c r="F507" s="14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>
      <c r="A508" s="123"/>
      <c r="B508" s="123"/>
      <c r="C508" s="123"/>
      <c r="D508" s="123"/>
      <c r="E508" s="143"/>
      <c r="F508" s="14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>
      <c r="A509" s="123"/>
      <c r="B509" s="123"/>
      <c r="C509" s="123"/>
      <c r="D509" s="123"/>
      <c r="E509" s="143"/>
      <c r="F509" s="14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>
      <c r="A510" s="123"/>
      <c r="B510" s="123"/>
      <c r="C510" s="123"/>
      <c r="D510" s="123"/>
      <c r="E510" s="143"/>
      <c r="F510" s="14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>
      <c r="A511" s="123"/>
      <c r="B511" s="123"/>
      <c r="C511" s="123"/>
      <c r="D511" s="123"/>
      <c r="E511" s="143"/>
      <c r="F511" s="14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>
      <c r="A512" s="123"/>
      <c r="B512" s="123"/>
      <c r="C512" s="123"/>
      <c r="D512" s="123"/>
      <c r="E512" s="143"/>
      <c r="F512" s="14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>
      <c r="A513" s="123"/>
      <c r="B513" s="123"/>
      <c r="C513" s="123"/>
      <c r="D513" s="123"/>
      <c r="E513" s="143"/>
      <c r="F513" s="14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>
      <c r="A514" s="123"/>
      <c r="B514" s="123"/>
      <c r="C514" s="123"/>
      <c r="D514" s="123"/>
      <c r="E514" s="143"/>
      <c r="F514" s="14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>
      <c r="A515" s="123"/>
      <c r="B515" s="123"/>
      <c r="C515" s="123"/>
      <c r="D515" s="123"/>
      <c r="E515" s="143"/>
      <c r="F515" s="14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>
      <c r="A516" s="123"/>
      <c r="B516" s="123"/>
      <c r="C516" s="123"/>
      <c r="D516" s="123"/>
      <c r="E516" s="143"/>
      <c r="F516" s="14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>
      <c r="A517" s="123"/>
      <c r="B517" s="123"/>
      <c r="C517" s="123"/>
      <c r="D517" s="123"/>
      <c r="E517" s="143"/>
      <c r="F517" s="14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>
      <c r="A518" s="123"/>
      <c r="B518" s="123"/>
      <c r="C518" s="123"/>
      <c r="D518" s="123"/>
      <c r="E518" s="143"/>
      <c r="F518" s="14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>
      <c r="A519" s="123"/>
      <c r="B519" s="123"/>
      <c r="C519" s="123"/>
      <c r="D519" s="123"/>
      <c r="E519" s="143"/>
      <c r="F519" s="14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>
      <c r="A520" s="123"/>
      <c r="B520" s="123"/>
      <c r="C520" s="123"/>
      <c r="D520" s="123"/>
      <c r="E520" s="143"/>
      <c r="F520" s="14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>
      <c r="A521" s="123"/>
      <c r="B521" s="123"/>
      <c r="C521" s="123"/>
      <c r="D521" s="123"/>
      <c r="E521" s="143"/>
      <c r="F521" s="14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>
      <c r="A522" s="123"/>
      <c r="B522" s="123"/>
      <c r="C522" s="123"/>
      <c r="D522" s="123"/>
      <c r="E522" s="143"/>
      <c r="F522" s="14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>
      <c r="A523" s="123"/>
      <c r="B523" s="123"/>
      <c r="C523" s="123"/>
      <c r="D523" s="123"/>
      <c r="E523" s="143"/>
      <c r="F523" s="14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>
      <c r="A524" s="123"/>
      <c r="B524" s="123"/>
      <c r="C524" s="123"/>
      <c r="D524" s="123"/>
      <c r="E524" s="143"/>
      <c r="F524" s="14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>
      <c r="A525" s="123"/>
      <c r="B525" s="123"/>
      <c r="C525" s="123"/>
      <c r="D525" s="123"/>
      <c r="E525" s="143"/>
      <c r="F525" s="14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>
      <c r="A526" s="123"/>
      <c r="B526" s="123"/>
      <c r="C526" s="123"/>
      <c r="D526" s="123"/>
      <c r="E526" s="143"/>
      <c r="F526" s="14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>
      <c r="A527" s="123"/>
      <c r="B527" s="123"/>
      <c r="C527" s="123"/>
      <c r="D527" s="123"/>
      <c r="E527" s="143"/>
      <c r="F527" s="14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>
      <c r="A528" s="123"/>
      <c r="B528" s="123"/>
      <c r="C528" s="123"/>
      <c r="D528" s="123"/>
      <c r="E528" s="143"/>
      <c r="F528" s="14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>
      <c r="A529" s="123"/>
      <c r="B529" s="123"/>
      <c r="C529" s="123"/>
      <c r="D529" s="123"/>
      <c r="E529" s="143"/>
      <c r="F529" s="14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>
      <c r="A530" s="123"/>
      <c r="B530" s="123"/>
      <c r="C530" s="123"/>
      <c r="D530" s="123"/>
      <c r="E530" s="143"/>
      <c r="F530" s="14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>
      <c r="A531" s="123"/>
      <c r="B531" s="123"/>
      <c r="C531" s="123"/>
      <c r="D531" s="123"/>
      <c r="E531" s="143"/>
      <c r="F531" s="14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>
      <c r="A532" s="123"/>
      <c r="B532" s="123"/>
      <c r="C532" s="123"/>
      <c r="D532" s="123"/>
      <c r="E532" s="143"/>
      <c r="F532" s="14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>
      <c r="A533" s="123"/>
      <c r="B533" s="123"/>
      <c r="C533" s="123"/>
      <c r="D533" s="123"/>
      <c r="E533" s="143"/>
      <c r="F533" s="14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>
      <c r="A534" s="123"/>
      <c r="B534" s="123"/>
      <c r="C534" s="123"/>
      <c r="D534" s="123"/>
      <c r="E534" s="143"/>
      <c r="F534" s="14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>
      <c r="A535" s="123"/>
      <c r="B535" s="123"/>
      <c r="C535" s="123"/>
      <c r="D535" s="123"/>
      <c r="E535" s="143"/>
      <c r="F535" s="14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>
      <c r="A536" s="123"/>
      <c r="B536" s="123"/>
      <c r="C536" s="123"/>
      <c r="D536" s="123"/>
      <c r="E536" s="143"/>
      <c r="F536" s="14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>
      <c r="A537" s="123"/>
      <c r="B537" s="123"/>
      <c r="C537" s="123"/>
      <c r="D537" s="123"/>
      <c r="E537" s="143"/>
      <c r="F537" s="14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>
      <c r="A538" s="123"/>
      <c r="B538" s="123"/>
      <c r="C538" s="123"/>
      <c r="D538" s="123"/>
      <c r="E538" s="143"/>
      <c r="F538" s="14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>
      <c r="A539" s="123"/>
      <c r="B539" s="123"/>
      <c r="C539" s="123"/>
      <c r="D539" s="123"/>
      <c r="E539" s="143"/>
      <c r="F539" s="14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>
      <c r="A540" s="123"/>
      <c r="B540" s="123"/>
      <c r="C540" s="123"/>
      <c r="D540" s="123"/>
      <c r="E540" s="143"/>
      <c r="F540" s="14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>
      <c r="A541" s="123"/>
      <c r="B541" s="123"/>
      <c r="C541" s="123"/>
      <c r="D541" s="123"/>
      <c r="E541" s="143"/>
      <c r="F541" s="14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>
      <c r="A542" s="123"/>
      <c r="B542" s="123"/>
      <c r="C542" s="123"/>
      <c r="D542" s="123"/>
      <c r="E542" s="143"/>
      <c r="F542" s="14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>
      <c r="A543" s="123"/>
      <c r="B543" s="123"/>
      <c r="C543" s="123"/>
      <c r="D543" s="123"/>
      <c r="E543" s="143"/>
      <c r="F543" s="14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>
      <c r="A544" s="123"/>
      <c r="B544" s="123"/>
      <c r="C544" s="123"/>
      <c r="D544" s="123"/>
      <c r="E544" s="143"/>
      <c r="F544" s="14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>
      <c r="A545" s="123"/>
      <c r="B545" s="123"/>
      <c r="C545" s="123"/>
      <c r="D545" s="123"/>
      <c r="E545" s="143"/>
      <c r="F545" s="14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>
      <c r="A546" s="123"/>
      <c r="B546" s="123"/>
      <c r="C546" s="123"/>
      <c r="D546" s="123"/>
      <c r="E546" s="143"/>
      <c r="F546" s="14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>
      <c r="A547" s="123"/>
      <c r="B547" s="123"/>
      <c r="C547" s="123"/>
      <c r="D547" s="123"/>
      <c r="E547" s="143"/>
      <c r="F547" s="14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>
      <c r="A548" s="123"/>
      <c r="B548" s="123"/>
      <c r="C548" s="123"/>
      <c r="D548" s="123"/>
      <c r="E548" s="143"/>
      <c r="F548" s="14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>
      <c r="A549" s="123"/>
      <c r="B549" s="123"/>
      <c r="C549" s="123"/>
      <c r="D549" s="123"/>
      <c r="E549" s="143"/>
      <c r="F549" s="14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>
      <c r="A550" s="123"/>
      <c r="B550" s="123"/>
      <c r="C550" s="123"/>
      <c r="D550" s="123"/>
      <c r="E550" s="143"/>
      <c r="F550" s="14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>
      <c r="A551" s="123"/>
      <c r="B551" s="123"/>
      <c r="C551" s="123"/>
      <c r="D551" s="123"/>
      <c r="E551" s="143"/>
      <c r="F551" s="14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>
      <c r="A552" s="123"/>
      <c r="B552" s="123"/>
      <c r="C552" s="123"/>
      <c r="D552" s="123"/>
      <c r="E552" s="143"/>
      <c r="F552" s="14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>
      <c r="A553" s="123"/>
      <c r="B553" s="123"/>
      <c r="C553" s="123"/>
      <c r="D553" s="123"/>
      <c r="E553" s="143"/>
      <c r="F553" s="14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>
      <c r="A554" s="123"/>
      <c r="B554" s="123"/>
      <c r="C554" s="123"/>
      <c r="D554" s="123"/>
      <c r="E554" s="143"/>
      <c r="F554" s="14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>
      <c r="A555" s="123"/>
      <c r="B555" s="123"/>
      <c r="C555" s="123"/>
      <c r="D555" s="123"/>
      <c r="E555" s="143"/>
      <c r="F555" s="14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>
      <c r="A556" s="123"/>
      <c r="B556" s="123"/>
      <c r="C556" s="123"/>
      <c r="D556" s="123"/>
      <c r="E556" s="143"/>
      <c r="F556" s="14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>
      <c r="A557" s="123"/>
      <c r="B557" s="123"/>
      <c r="C557" s="123"/>
      <c r="D557" s="123"/>
      <c r="E557" s="143"/>
      <c r="F557" s="14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>
      <c r="A558" s="123"/>
      <c r="B558" s="123"/>
      <c r="C558" s="123"/>
      <c r="D558" s="123"/>
      <c r="E558" s="143"/>
      <c r="F558" s="14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>
      <c r="A559" s="123"/>
      <c r="B559" s="123"/>
      <c r="C559" s="123"/>
      <c r="D559" s="123"/>
      <c r="E559" s="143"/>
      <c r="F559" s="14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>
      <c r="A560" s="123"/>
      <c r="B560" s="123"/>
      <c r="C560" s="123"/>
      <c r="D560" s="123"/>
      <c r="E560" s="143"/>
      <c r="F560" s="14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>
      <c r="A561" s="123"/>
      <c r="B561" s="123"/>
      <c r="C561" s="123"/>
      <c r="D561" s="123"/>
      <c r="E561" s="143"/>
      <c r="F561" s="14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>
      <c r="A562" s="123"/>
      <c r="B562" s="123"/>
      <c r="C562" s="123"/>
      <c r="D562" s="123"/>
      <c r="E562" s="143"/>
      <c r="F562" s="14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>
      <c r="A563" s="123"/>
      <c r="B563" s="123"/>
      <c r="C563" s="123"/>
      <c r="D563" s="123"/>
      <c r="E563" s="143"/>
      <c r="F563" s="14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>
      <c r="A564" s="123"/>
      <c r="B564" s="123"/>
      <c r="C564" s="123"/>
      <c r="D564" s="123"/>
      <c r="E564" s="143"/>
      <c r="F564" s="14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>
      <c r="A565" s="123"/>
      <c r="B565" s="123"/>
      <c r="C565" s="123"/>
      <c r="D565" s="123"/>
      <c r="E565" s="143"/>
      <c r="F565" s="14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>
      <c r="A566" s="123"/>
      <c r="B566" s="123"/>
      <c r="C566" s="123"/>
      <c r="D566" s="123"/>
      <c r="E566" s="143"/>
      <c r="F566" s="14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>
      <c r="A567" s="123"/>
      <c r="B567" s="123"/>
      <c r="C567" s="123"/>
      <c r="D567" s="123"/>
      <c r="E567" s="143"/>
      <c r="F567" s="14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>
      <c r="A568" s="123"/>
      <c r="B568" s="123"/>
      <c r="C568" s="123"/>
      <c r="D568" s="123"/>
      <c r="E568" s="143"/>
      <c r="F568" s="14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>
      <c r="A569" s="123"/>
      <c r="B569" s="123"/>
      <c r="C569" s="123"/>
      <c r="D569" s="123"/>
      <c r="E569" s="143"/>
      <c r="F569" s="14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>
      <c r="A570" s="123"/>
      <c r="B570" s="123"/>
      <c r="C570" s="123"/>
      <c r="D570" s="123"/>
      <c r="E570" s="143"/>
      <c r="F570" s="14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>
      <c r="A571" s="123"/>
      <c r="B571" s="123"/>
      <c r="C571" s="123"/>
      <c r="D571" s="123"/>
      <c r="E571" s="143"/>
      <c r="F571" s="14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>
      <c r="A572" s="123"/>
      <c r="B572" s="123"/>
      <c r="C572" s="123"/>
      <c r="D572" s="123"/>
      <c r="E572" s="143"/>
      <c r="F572" s="14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>
      <c r="A573" s="123"/>
      <c r="B573" s="123"/>
      <c r="C573" s="123"/>
      <c r="D573" s="123"/>
      <c r="E573" s="143"/>
      <c r="F573" s="14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>
      <c r="A574" s="123"/>
      <c r="B574" s="123"/>
      <c r="C574" s="123"/>
      <c r="D574" s="123"/>
      <c r="E574" s="143"/>
      <c r="F574" s="14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>
      <c r="A575" s="123"/>
      <c r="B575" s="123"/>
      <c r="C575" s="123"/>
      <c r="D575" s="123"/>
      <c r="E575" s="143"/>
      <c r="F575" s="14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>
      <c r="A576" s="123"/>
      <c r="B576" s="123"/>
      <c r="C576" s="123"/>
      <c r="D576" s="123"/>
      <c r="E576" s="143"/>
      <c r="F576" s="14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>
      <c r="A577" s="123"/>
      <c r="B577" s="123"/>
      <c r="C577" s="123"/>
      <c r="D577" s="123"/>
      <c r="E577" s="143"/>
      <c r="F577" s="14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>
      <c r="A578" s="123"/>
      <c r="B578" s="123"/>
      <c r="C578" s="123"/>
      <c r="D578" s="123"/>
      <c r="E578" s="143"/>
      <c r="F578" s="14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>
      <c r="A579" s="123"/>
      <c r="B579" s="123"/>
      <c r="C579" s="123"/>
      <c r="D579" s="123"/>
      <c r="E579" s="143"/>
      <c r="F579" s="14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>
      <c r="A580" s="123"/>
      <c r="B580" s="123"/>
      <c r="C580" s="123"/>
      <c r="D580" s="123"/>
      <c r="E580" s="143"/>
      <c r="F580" s="14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>
      <c r="A581" s="123"/>
      <c r="B581" s="123"/>
      <c r="C581" s="123"/>
      <c r="D581" s="123"/>
      <c r="E581" s="143"/>
      <c r="F581" s="14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>
      <c r="A582" s="123"/>
      <c r="B582" s="123"/>
      <c r="C582" s="123"/>
      <c r="D582" s="123"/>
      <c r="E582" s="143"/>
      <c r="F582" s="14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>
      <c r="A583" s="123"/>
      <c r="B583" s="123"/>
      <c r="C583" s="123"/>
      <c r="D583" s="123"/>
      <c r="E583" s="143"/>
      <c r="F583" s="14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>
      <c r="A584" s="123"/>
      <c r="B584" s="123"/>
      <c r="C584" s="123"/>
      <c r="D584" s="123"/>
      <c r="E584" s="143"/>
      <c r="F584" s="14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>
      <c r="A585" s="123"/>
      <c r="B585" s="123"/>
      <c r="C585" s="123"/>
      <c r="D585" s="123"/>
      <c r="E585" s="143"/>
      <c r="F585" s="14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>
      <c r="A586" s="123"/>
      <c r="B586" s="123"/>
      <c r="C586" s="123"/>
      <c r="D586" s="123"/>
      <c r="E586" s="143"/>
      <c r="F586" s="14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>
      <c r="A587" s="123"/>
      <c r="B587" s="123"/>
      <c r="C587" s="123"/>
      <c r="D587" s="123"/>
      <c r="E587" s="143"/>
      <c r="F587" s="14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>
      <c r="A588" s="123"/>
      <c r="B588" s="123"/>
      <c r="C588" s="123"/>
      <c r="D588" s="123"/>
      <c r="E588" s="143"/>
      <c r="F588" s="14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>
      <c r="A589" s="123"/>
      <c r="B589" s="123"/>
      <c r="C589" s="123"/>
      <c r="D589" s="123"/>
      <c r="E589" s="143"/>
      <c r="F589" s="14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>
      <c r="A590" s="123"/>
      <c r="B590" s="123"/>
      <c r="C590" s="123"/>
      <c r="D590" s="123"/>
      <c r="E590" s="143"/>
      <c r="F590" s="14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>
      <c r="A591" s="123"/>
      <c r="B591" s="123"/>
      <c r="C591" s="123"/>
      <c r="D591" s="123"/>
      <c r="E591" s="143"/>
      <c r="F591" s="14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>
      <c r="A592" s="123"/>
      <c r="B592" s="123"/>
      <c r="C592" s="123"/>
      <c r="D592" s="123"/>
      <c r="E592" s="143"/>
      <c r="F592" s="14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>
      <c r="A593" s="123"/>
      <c r="B593" s="123"/>
      <c r="C593" s="123"/>
      <c r="D593" s="123"/>
      <c r="E593" s="143"/>
      <c r="F593" s="14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>
      <c r="A594" s="123"/>
      <c r="B594" s="123"/>
      <c r="C594" s="123"/>
      <c r="D594" s="123"/>
      <c r="E594" s="143"/>
      <c r="F594" s="14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>
      <c r="A595" s="123"/>
      <c r="B595" s="123"/>
      <c r="C595" s="123"/>
      <c r="D595" s="123"/>
      <c r="E595" s="143"/>
      <c r="F595" s="14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>
      <c r="A596" s="123"/>
      <c r="B596" s="123"/>
      <c r="C596" s="123"/>
      <c r="D596" s="123"/>
      <c r="E596" s="143"/>
      <c r="F596" s="14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>
      <c r="A597" s="123"/>
      <c r="B597" s="123"/>
      <c r="C597" s="123"/>
      <c r="D597" s="123"/>
      <c r="E597" s="143"/>
      <c r="F597" s="14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>
      <c r="A598" s="123"/>
      <c r="B598" s="123"/>
      <c r="C598" s="123"/>
      <c r="D598" s="123"/>
      <c r="E598" s="143"/>
      <c r="F598" s="14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>
      <c r="A599" s="123"/>
      <c r="B599" s="123"/>
      <c r="C599" s="123"/>
      <c r="D599" s="123"/>
      <c r="E599" s="143"/>
      <c r="F599" s="14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>
      <c r="A600" s="123"/>
      <c r="B600" s="123"/>
      <c r="C600" s="123"/>
      <c r="D600" s="123"/>
      <c r="E600" s="143"/>
      <c r="F600" s="14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>
      <c r="A601" s="123"/>
      <c r="B601" s="123"/>
      <c r="C601" s="123"/>
      <c r="D601" s="123"/>
      <c r="E601" s="143"/>
      <c r="F601" s="14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>
      <c r="A602" s="123"/>
      <c r="B602" s="123"/>
      <c r="C602" s="123"/>
      <c r="D602" s="123"/>
      <c r="E602" s="143"/>
      <c r="F602" s="14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>
      <c r="A603" s="123"/>
      <c r="B603" s="123"/>
      <c r="C603" s="123"/>
      <c r="D603" s="123"/>
      <c r="E603" s="143"/>
      <c r="F603" s="14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>
      <c r="A604" s="123"/>
      <c r="B604" s="123"/>
      <c r="C604" s="123"/>
      <c r="D604" s="123"/>
      <c r="E604" s="143"/>
      <c r="F604" s="14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>
      <c r="A605" s="123"/>
      <c r="B605" s="123"/>
      <c r="C605" s="123"/>
      <c r="D605" s="123"/>
      <c r="E605" s="143"/>
      <c r="F605" s="14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>
      <c r="A606" s="123"/>
      <c r="B606" s="123"/>
      <c r="C606" s="123"/>
      <c r="D606" s="123"/>
      <c r="E606" s="143"/>
      <c r="F606" s="14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>
      <c r="A607" s="123"/>
      <c r="B607" s="123"/>
      <c r="C607" s="123"/>
      <c r="D607" s="123"/>
      <c r="E607" s="143"/>
      <c r="F607" s="14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>
      <c r="A608" s="123"/>
      <c r="B608" s="123"/>
      <c r="C608" s="123"/>
      <c r="D608" s="123"/>
      <c r="E608" s="143"/>
      <c r="F608" s="14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>
      <c r="A609" s="123"/>
      <c r="B609" s="123"/>
      <c r="C609" s="123"/>
      <c r="D609" s="123"/>
      <c r="E609" s="143"/>
      <c r="F609" s="14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>
      <c r="A610" s="123"/>
      <c r="B610" s="123"/>
      <c r="C610" s="123"/>
      <c r="D610" s="123"/>
      <c r="E610" s="143"/>
      <c r="F610" s="14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>
      <c r="A611" s="123"/>
      <c r="B611" s="123"/>
      <c r="C611" s="123"/>
      <c r="D611" s="123"/>
      <c r="E611" s="143"/>
      <c r="F611" s="14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>
      <c r="A612" s="123"/>
      <c r="B612" s="123"/>
      <c r="C612" s="123"/>
      <c r="D612" s="123"/>
      <c r="E612" s="143"/>
      <c r="F612" s="14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>
      <c r="A613" s="123"/>
      <c r="B613" s="123"/>
      <c r="C613" s="123"/>
      <c r="D613" s="123"/>
      <c r="E613" s="143"/>
      <c r="F613" s="14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>
      <c r="A614" s="123"/>
      <c r="B614" s="123"/>
      <c r="C614" s="123"/>
      <c r="D614" s="123"/>
      <c r="E614" s="143"/>
      <c r="F614" s="14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>
      <c r="A615" s="123"/>
      <c r="B615" s="123"/>
      <c r="C615" s="123"/>
      <c r="D615" s="123"/>
      <c r="E615" s="143"/>
      <c r="F615" s="14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>
      <c r="A616" s="123"/>
      <c r="B616" s="123"/>
      <c r="C616" s="123"/>
      <c r="D616" s="123"/>
      <c r="E616" s="143"/>
      <c r="F616" s="14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>
      <c r="A617" s="123"/>
      <c r="B617" s="123"/>
      <c r="C617" s="123"/>
      <c r="D617" s="123"/>
      <c r="E617" s="143"/>
      <c r="F617" s="14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>
      <c r="A618" s="123"/>
      <c r="B618" s="123"/>
      <c r="C618" s="123"/>
      <c r="D618" s="123"/>
      <c r="E618" s="143"/>
      <c r="F618" s="14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>
      <c r="A619" s="123"/>
      <c r="B619" s="123"/>
      <c r="C619" s="123"/>
      <c r="D619" s="123"/>
      <c r="E619" s="143"/>
      <c r="F619" s="14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>
      <c r="A620" s="123"/>
      <c r="B620" s="123"/>
      <c r="C620" s="123"/>
      <c r="D620" s="123"/>
      <c r="E620" s="143"/>
      <c r="F620" s="14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>
      <c r="A621" s="123"/>
      <c r="B621" s="123"/>
      <c r="C621" s="123"/>
      <c r="D621" s="123"/>
      <c r="E621" s="143"/>
      <c r="F621" s="14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>
      <c r="A622" s="123"/>
      <c r="B622" s="123"/>
      <c r="C622" s="123"/>
      <c r="D622" s="123"/>
      <c r="E622" s="143"/>
      <c r="F622" s="14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>
      <c r="A623" s="123"/>
      <c r="B623" s="123"/>
      <c r="C623" s="123"/>
      <c r="D623" s="123"/>
      <c r="E623" s="143"/>
      <c r="F623" s="14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>
      <c r="A624" s="123"/>
      <c r="B624" s="123"/>
      <c r="C624" s="123"/>
      <c r="D624" s="123"/>
      <c r="E624" s="143"/>
      <c r="F624" s="14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>
      <c r="A625" s="123"/>
      <c r="B625" s="123"/>
      <c r="C625" s="123"/>
      <c r="D625" s="123"/>
      <c r="E625" s="143"/>
      <c r="F625" s="14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>
      <c r="A626" s="123"/>
      <c r="B626" s="123"/>
      <c r="C626" s="123"/>
      <c r="D626" s="123"/>
      <c r="E626" s="143"/>
      <c r="F626" s="14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>
      <c r="A627" s="123"/>
      <c r="B627" s="123"/>
      <c r="C627" s="123"/>
      <c r="D627" s="123"/>
      <c r="E627" s="143"/>
      <c r="F627" s="14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>
      <c r="A628" s="123"/>
      <c r="B628" s="123"/>
      <c r="C628" s="123"/>
      <c r="D628" s="123"/>
      <c r="E628" s="143"/>
      <c r="F628" s="14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>
      <c r="A629" s="123"/>
      <c r="B629" s="123"/>
      <c r="C629" s="123"/>
      <c r="D629" s="123"/>
      <c r="E629" s="143"/>
      <c r="F629" s="14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>
      <c r="A630" s="123"/>
      <c r="B630" s="123"/>
      <c r="C630" s="123"/>
      <c r="D630" s="123"/>
      <c r="E630" s="143"/>
      <c r="F630" s="14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>
      <c r="A631" s="123"/>
      <c r="B631" s="123"/>
      <c r="C631" s="123"/>
      <c r="D631" s="123"/>
      <c r="E631" s="143"/>
      <c r="F631" s="14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>
      <c r="A632" s="123"/>
      <c r="B632" s="123"/>
      <c r="C632" s="123"/>
      <c r="D632" s="123"/>
      <c r="E632" s="143"/>
      <c r="F632" s="14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>
      <c r="A633" s="123"/>
      <c r="B633" s="123"/>
      <c r="C633" s="123"/>
      <c r="D633" s="123"/>
      <c r="E633" s="143"/>
      <c r="F633" s="14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>
      <c r="A634" s="123"/>
      <c r="B634" s="123"/>
      <c r="C634" s="123"/>
      <c r="D634" s="123"/>
      <c r="E634" s="143"/>
      <c r="F634" s="14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>
      <c r="A635" s="123"/>
      <c r="B635" s="123"/>
      <c r="C635" s="123"/>
      <c r="D635" s="123"/>
      <c r="E635" s="143"/>
      <c r="F635" s="14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>
      <c r="A636" s="123"/>
      <c r="B636" s="123"/>
      <c r="C636" s="123"/>
      <c r="D636" s="123"/>
      <c r="E636" s="143"/>
      <c r="F636" s="14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>
      <c r="A637" s="123"/>
      <c r="B637" s="123"/>
      <c r="C637" s="123"/>
      <c r="D637" s="123"/>
      <c r="E637" s="143"/>
      <c r="F637" s="14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>
      <c r="A638" s="123"/>
      <c r="B638" s="123"/>
      <c r="C638" s="123"/>
      <c r="D638" s="123"/>
      <c r="E638" s="143"/>
      <c r="F638" s="14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>
      <c r="A639" s="123"/>
      <c r="B639" s="123"/>
      <c r="C639" s="123"/>
      <c r="D639" s="123"/>
      <c r="E639" s="143"/>
      <c r="F639" s="14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>
      <c r="A640" s="123"/>
      <c r="B640" s="123"/>
      <c r="C640" s="123"/>
      <c r="D640" s="123"/>
      <c r="E640" s="143"/>
      <c r="F640" s="14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>
      <c r="A641" s="123"/>
      <c r="B641" s="123"/>
      <c r="C641" s="123"/>
      <c r="D641" s="123"/>
      <c r="E641" s="143"/>
      <c r="F641" s="14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>
      <c r="A642" s="123"/>
      <c r="B642" s="123"/>
      <c r="C642" s="123"/>
      <c r="D642" s="123"/>
      <c r="E642" s="143"/>
      <c r="F642" s="14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>
      <c r="A643" s="123"/>
      <c r="B643" s="123"/>
      <c r="C643" s="123"/>
      <c r="D643" s="123"/>
      <c r="E643" s="143"/>
      <c r="F643" s="14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>
      <c r="A644" s="123"/>
      <c r="B644" s="123"/>
      <c r="C644" s="123"/>
      <c r="D644" s="123"/>
      <c r="E644" s="143"/>
      <c r="F644" s="14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>
      <c r="A645" s="123"/>
      <c r="B645" s="123"/>
      <c r="C645" s="123"/>
      <c r="D645" s="123"/>
      <c r="E645" s="143"/>
      <c r="F645" s="14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>
      <c r="A646" s="123"/>
      <c r="B646" s="123"/>
      <c r="C646" s="123"/>
      <c r="D646" s="123"/>
      <c r="E646" s="143"/>
      <c r="F646" s="14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>
      <c r="A647" s="123"/>
      <c r="B647" s="123"/>
      <c r="C647" s="123"/>
      <c r="D647" s="123"/>
      <c r="E647" s="143"/>
      <c r="F647" s="14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>
      <c r="A648" s="123"/>
      <c r="B648" s="123"/>
      <c r="C648" s="123"/>
      <c r="D648" s="123"/>
      <c r="E648" s="143"/>
      <c r="F648" s="14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>
      <c r="A649" s="123"/>
      <c r="B649" s="123"/>
      <c r="C649" s="123"/>
      <c r="D649" s="123"/>
      <c r="E649" s="143"/>
      <c r="F649" s="14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>
      <c r="A650" s="123"/>
      <c r="B650" s="123"/>
      <c r="C650" s="123"/>
      <c r="D650" s="123"/>
      <c r="E650" s="143"/>
      <c r="F650" s="14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>
      <c r="A651" s="123"/>
      <c r="B651" s="123"/>
      <c r="C651" s="123"/>
      <c r="D651" s="123"/>
      <c r="E651" s="143"/>
      <c r="F651" s="14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>
      <c r="A652" s="123"/>
      <c r="B652" s="123"/>
      <c r="C652" s="123"/>
      <c r="D652" s="123"/>
      <c r="E652" s="143"/>
      <c r="F652" s="14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>
      <c r="A653" s="123"/>
      <c r="B653" s="123"/>
      <c r="C653" s="123"/>
      <c r="D653" s="123"/>
      <c r="E653" s="143"/>
      <c r="F653" s="14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>
      <c r="A654" s="123"/>
      <c r="B654" s="123"/>
      <c r="C654" s="123"/>
      <c r="D654" s="123"/>
      <c r="E654" s="143"/>
      <c r="F654" s="14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>
      <c r="A655" s="123"/>
      <c r="B655" s="123"/>
      <c r="C655" s="123"/>
      <c r="D655" s="123"/>
      <c r="E655" s="143"/>
      <c r="F655" s="14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>
      <c r="A656" s="123"/>
      <c r="B656" s="123"/>
      <c r="C656" s="123"/>
      <c r="D656" s="123"/>
      <c r="E656" s="143"/>
      <c r="F656" s="14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>
      <c r="A657" s="123"/>
      <c r="B657" s="123"/>
      <c r="C657" s="123"/>
      <c r="D657" s="123"/>
      <c r="E657" s="143"/>
      <c r="F657" s="14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>
      <c r="A658" s="123"/>
      <c r="B658" s="123"/>
      <c r="C658" s="123"/>
      <c r="D658" s="123"/>
      <c r="E658" s="143"/>
      <c r="F658" s="14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>
      <c r="A659" s="123"/>
      <c r="B659" s="123"/>
      <c r="C659" s="123"/>
      <c r="D659" s="123"/>
      <c r="E659" s="143"/>
      <c r="F659" s="14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>
      <c r="A660" s="123"/>
      <c r="B660" s="123"/>
      <c r="C660" s="123"/>
      <c r="D660" s="123"/>
      <c r="E660" s="143"/>
      <c r="F660" s="14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>
      <c r="A661" s="123"/>
      <c r="B661" s="123"/>
      <c r="C661" s="123"/>
      <c r="D661" s="123"/>
      <c r="E661" s="143"/>
      <c r="F661" s="14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>
      <c r="A662" s="123"/>
      <c r="B662" s="123"/>
      <c r="C662" s="123"/>
      <c r="D662" s="123"/>
      <c r="E662" s="143"/>
      <c r="F662" s="14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>
      <c r="A663" s="123"/>
      <c r="B663" s="123"/>
      <c r="C663" s="123"/>
      <c r="D663" s="123"/>
      <c r="E663" s="143"/>
      <c r="F663" s="14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>
      <c r="A664" s="123"/>
      <c r="B664" s="123"/>
      <c r="C664" s="123"/>
      <c r="D664" s="123"/>
      <c r="E664" s="143"/>
      <c r="F664" s="14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>
      <c r="A665" s="123"/>
      <c r="B665" s="123"/>
      <c r="C665" s="123"/>
      <c r="D665" s="123"/>
      <c r="E665" s="143"/>
      <c r="F665" s="14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>
      <c r="A666" s="123"/>
      <c r="B666" s="123"/>
      <c r="C666" s="123"/>
      <c r="D666" s="123"/>
      <c r="E666" s="143"/>
      <c r="F666" s="14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>
      <c r="A667" s="123"/>
      <c r="B667" s="123"/>
      <c r="C667" s="123"/>
      <c r="D667" s="123"/>
      <c r="E667" s="143"/>
      <c r="F667" s="14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>
      <c r="A668" s="123"/>
      <c r="B668" s="123"/>
      <c r="C668" s="123"/>
      <c r="D668" s="123"/>
      <c r="E668" s="143"/>
      <c r="F668" s="14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>
      <c r="A669" s="123"/>
      <c r="B669" s="123"/>
      <c r="C669" s="123"/>
      <c r="D669" s="123"/>
      <c r="E669" s="143"/>
      <c r="F669" s="14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>
      <c r="A670" s="123"/>
      <c r="B670" s="123"/>
      <c r="C670" s="123"/>
      <c r="D670" s="123"/>
      <c r="E670" s="143"/>
      <c r="F670" s="14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>
      <c r="A671" s="123"/>
      <c r="B671" s="123"/>
      <c r="C671" s="123"/>
      <c r="D671" s="123"/>
      <c r="E671" s="143"/>
      <c r="F671" s="14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>
      <c r="A672" s="123"/>
      <c r="B672" s="123"/>
      <c r="C672" s="123"/>
      <c r="D672" s="123"/>
      <c r="E672" s="143"/>
      <c r="F672" s="14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>
      <c r="A673" s="123"/>
      <c r="B673" s="123"/>
      <c r="C673" s="123"/>
      <c r="D673" s="123"/>
      <c r="E673" s="143"/>
      <c r="F673" s="14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>
      <c r="A674" s="123"/>
      <c r="B674" s="123"/>
      <c r="C674" s="123"/>
      <c r="D674" s="123"/>
      <c r="E674" s="143"/>
      <c r="F674" s="14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>
      <c r="A675" s="123"/>
      <c r="B675" s="123"/>
      <c r="C675" s="123"/>
      <c r="D675" s="123"/>
      <c r="E675" s="143"/>
      <c r="F675" s="14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>
      <c r="A676" s="123"/>
      <c r="B676" s="123"/>
      <c r="C676" s="123"/>
      <c r="D676" s="123"/>
      <c r="E676" s="143"/>
      <c r="F676" s="14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>
      <c r="A677" s="123"/>
      <c r="B677" s="123"/>
      <c r="C677" s="123"/>
      <c r="D677" s="123"/>
      <c r="E677" s="143"/>
      <c r="F677" s="14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>
      <c r="A678" s="123"/>
      <c r="B678" s="123"/>
      <c r="C678" s="123"/>
      <c r="D678" s="123"/>
      <c r="E678" s="143"/>
      <c r="F678" s="14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>
      <c r="A679" s="123"/>
      <c r="B679" s="123"/>
      <c r="C679" s="123"/>
      <c r="D679" s="123"/>
      <c r="E679" s="143"/>
      <c r="F679" s="14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>
      <c r="A680" s="123"/>
      <c r="B680" s="123"/>
      <c r="C680" s="123"/>
      <c r="D680" s="123"/>
      <c r="E680" s="143"/>
      <c r="F680" s="14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>
      <c r="A681" s="123"/>
      <c r="B681" s="123"/>
      <c r="C681" s="123"/>
      <c r="D681" s="123"/>
      <c r="E681" s="143"/>
      <c r="F681" s="14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>
      <c r="A682" s="123"/>
      <c r="B682" s="123"/>
      <c r="C682" s="123"/>
      <c r="D682" s="123"/>
      <c r="E682" s="143"/>
      <c r="F682" s="14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>
      <c r="A683" s="123"/>
      <c r="B683" s="123"/>
      <c r="C683" s="123"/>
      <c r="D683" s="123"/>
      <c r="E683" s="143"/>
      <c r="F683" s="14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>
      <c r="A684" s="123"/>
      <c r="B684" s="123"/>
      <c r="C684" s="123"/>
      <c r="D684" s="123"/>
      <c r="E684" s="143"/>
      <c r="F684" s="14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>
      <c r="A685" s="123"/>
      <c r="B685" s="123"/>
      <c r="C685" s="123"/>
      <c r="D685" s="123"/>
      <c r="E685" s="143"/>
      <c r="F685" s="14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>
      <c r="A686" s="123"/>
      <c r="B686" s="123"/>
      <c r="C686" s="123"/>
      <c r="D686" s="123"/>
      <c r="E686" s="143"/>
      <c r="F686" s="14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>
      <c r="A687" s="123"/>
      <c r="B687" s="123"/>
      <c r="C687" s="123"/>
      <c r="D687" s="123"/>
      <c r="E687" s="143"/>
      <c r="F687" s="14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>
      <c r="A688" s="123"/>
      <c r="B688" s="123"/>
      <c r="C688" s="123"/>
      <c r="D688" s="123"/>
      <c r="E688" s="143"/>
      <c r="F688" s="14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>
      <c r="A689" s="123"/>
      <c r="B689" s="123"/>
      <c r="C689" s="123"/>
      <c r="D689" s="123"/>
      <c r="E689" s="143"/>
      <c r="F689" s="14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>
      <c r="A690" s="123"/>
      <c r="B690" s="123"/>
      <c r="C690" s="123"/>
      <c r="D690" s="123"/>
      <c r="E690" s="143"/>
      <c r="F690" s="14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>
      <c r="A691" s="123"/>
      <c r="B691" s="123"/>
      <c r="C691" s="123"/>
      <c r="D691" s="123"/>
      <c r="E691" s="143"/>
      <c r="F691" s="14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>
      <c r="A692" s="123"/>
      <c r="B692" s="123"/>
      <c r="C692" s="123"/>
      <c r="D692" s="123"/>
      <c r="E692" s="143"/>
      <c r="F692" s="14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>
      <c r="A693" s="123"/>
      <c r="B693" s="123"/>
      <c r="C693" s="123"/>
      <c r="D693" s="123"/>
      <c r="E693" s="143"/>
      <c r="F693" s="14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>
      <c r="A694" s="123"/>
      <c r="B694" s="123"/>
      <c r="C694" s="123"/>
      <c r="D694" s="123"/>
      <c r="E694" s="143"/>
      <c r="F694" s="14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>
      <c r="A695" s="123"/>
      <c r="B695" s="123"/>
      <c r="C695" s="123"/>
      <c r="D695" s="123"/>
      <c r="E695" s="143"/>
      <c r="F695" s="14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>
      <c r="A696" s="123"/>
      <c r="B696" s="123"/>
      <c r="C696" s="123"/>
      <c r="D696" s="123"/>
      <c r="E696" s="143"/>
      <c r="F696" s="14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>
      <c r="A697" s="123"/>
      <c r="B697" s="123"/>
      <c r="C697" s="123"/>
      <c r="D697" s="123"/>
      <c r="E697" s="143"/>
      <c r="F697" s="14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>
      <c r="A698" s="123"/>
      <c r="B698" s="123"/>
      <c r="C698" s="123"/>
      <c r="D698" s="123"/>
      <c r="E698" s="143"/>
      <c r="F698" s="14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>
      <c r="A699" s="123"/>
      <c r="B699" s="123"/>
      <c r="C699" s="123"/>
      <c r="D699" s="123"/>
      <c r="E699" s="143"/>
      <c r="F699" s="14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>
      <c r="A700" s="123"/>
      <c r="B700" s="123"/>
      <c r="C700" s="123"/>
      <c r="D700" s="123"/>
      <c r="E700" s="143"/>
      <c r="F700" s="14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>
      <c r="A701" s="123"/>
      <c r="B701" s="123"/>
      <c r="C701" s="123"/>
      <c r="D701" s="123"/>
      <c r="E701" s="143"/>
      <c r="F701" s="14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>
      <c r="A702" s="123"/>
      <c r="B702" s="123"/>
      <c r="C702" s="123"/>
      <c r="D702" s="123"/>
      <c r="E702" s="143"/>
      <c r="F702" s="14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>
      <c r="A703" s="123"/>
      <c r="B703" s="123"/>
      <c r="C703" s="123"/>
      <c r="D703" s="123"/>
      <c r="E703" s="143"/>
      <c r="F703" s="14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>
      <c r="A704" s="123"/>
      <c r="B704" s="123"/>
      <c r="C704" s="123"/>
      <c r="D704" s="123"/>
      <c r="E704" s="143"/>
      <c r="F704" s="14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>
      <c r="A705" s="123"/>
      <c r="B705" s="123"/>
      <c r="C705" s="123"/>
      <c r="D705" s="123"/>
      <c r="E705" s="143"/>
      <c r="F705" s="14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>
      <c r="A706" s="123"/>
      <c r="B706" s="123"/>
      <c r="C706" s="123"/>
      <c r="D706" s="123"/>
      <c r="E706" s="143"/>
      <c r="F706" s="14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>
      <c r="A707" s="123"/>
      <c r="B707" s="123"/>
      <c r="C707" s="123"/>
      <c r="D707" s="123"/>
      <c r="E707" s="143"/>
      <c r="F707" s="14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>
      <c r="A708" s="123"/>
      <c r="B708" s="123"/>
      <c r="C708" s="123"/>
      <c r="D708" s="123"/>
      <c r="E708" s="143"/>
      <c r="F708" s="14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>
      <c r="A709" s="123"/>
      <c r="B709" s="123"/>
      <c r="C709" s="123"/>
      <c r="D709" s="123"/>
      <c r="E709" s="143"/>
      <c r="F709" s="14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>
      <c r="A710" s="123"/>
      <c r="B710" s="123"/>
      <c r="C710" s="123"/>
      <c r="D710" s="123"/>
      <c r="E710" s="143"/>
      <c r="F710" s="14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>
      <c r="A711" s="123"/>
      <c r="B711" s="123"/>
      <c r="C711" s="123"/>
      <c r="D711" s="123"/>
      <c r="E711" s="143"/>
      <c r="F711" s="14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>
      <c r="A712" s="123"/>
      <c r="B712" s="123"/>
      <c r="C712" s="123"/>
      <c r="D712" s="123"/>
      <c r="E712" s="143"/>
      <c r="F712" s="14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>
      <c r="A713" s="123"/>
      <c r="B713" s="123"/>
      <c r="C713" s="123"/>
      <c r="D713" s="123"/>
      <c r="E713" s="143"/>
      <c r="F713" s="14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>
      <c r="A714" s="123"/>
      <c r="B714" s="123"/>
      <c r="C714" s="123"/>
      <c r="D714" s="123"/>
      <c r="E714" s="143"/>
      <c r="F714" s="14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>
      <c r="A715" s="123"/>
      <c r="B715" s="123"/>
      <c r="C715" s="123"/>
      <c r="D715" s="123"/>
      <c r="E715" s="143"/>
      <c r="F715" s="14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>
      <c r="A716" s="123"/>
      <c r="B716" s="123"/>
      <c r="C716" s="123"/>
      <c r="D716" s="123"/>
      <c r="E716" s="143"/>
      <c r="F716" s="14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>
      <c r="A717" s="123"/>
      <c r="B717" s="123"/>
      <c r="C717" s="123"/>
      <c r="D717" s="123"/>
      <c r="E717" s="143"/>
      <c r="F717" s="14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>
      <c r="A718" s="123"/>
      <c r="B718" s="123"/>
      <c r="C718" s="123"/>
      <c r="D718" s="123"/>
      <c r="E718" s="143"/>
      <c r="F718" s="14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>
      <c r="A719" s="123"/>
      <c r="B719" s="123"/>
      <c r="C719" s="123"/>
      <c r="D719" s="123"/>
      <c r="E719" s="143"/>
      <c r="F719" s="14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>
      <c r="A720" s="123"/>
      <c r="B720" s="123"/>
      <c r="C720" s="123"/>
      <c r="D720" s="123"/>
      <c r="E720" s="143"/>
      <c r="F720" s="14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>
      <c r="A721" s="123"/>
      <c r="B721" s="123"/>
      <c r="C721" s="123"/>
      <c r="D721" s="123"/>
      <c r="E721" s="143"/>
      <c r="F721" s="14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>
      <c r="A722" s="123"/>
      <c r="B722" s="123"/>
      <c r="C722" s="123"/>
      <c r="D722" s="123"/>
      <c r="E722" s="143"/>
      <c r="F722" s="14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>
      <c r="A723" s="123"/>
      <c r="B723" s="123"/>
      <c r="C723" s="123"/>
      <c r="D723" s="123"/>
      <c r="E723" s="143"/>
      <c r="F723" s="14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>
      <c r="A724" s="123"/>
      <c r="B724" s="123"/>
      <c r="C724" s="123"/>
      <c r="D724" s="123"/>
      <c r="E724" s="143"/>
      <c r="F724" s="14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>
      <c r="A725" s="123"/>
      <c r="B725" s="123"/>
      <c r="C725" s="123"/>
      <c r="D725" s="123"/>
      <c r="E725" s="143"/>
      <c r="F725" s="14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>
      <c r="A726" s="123"/>
      <c r="B726" s="123"/>
      <c r="C726" s="123"/>
      <c r="D726" s="123"/>
      <c r="E726" s="143"/>
      <c r="F726" s="14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>
      <c r="A727" s="123"/>
      <c r="B727" s="123"/>
      <c r="C727" s="123"/>
      <c r="D727" s="123"/>
      <c r="E727" s="143"/>
      <c r="F727" s="14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>
      <c r="A728" s="123"/>
      <c r="B728" s="123"/>
      <c r="C728" s="123"/>
      <c r="D728" s="123"/>
      <c r="E728" s="143"/>
      <c r="F728" s="14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>
      <c r="A729" s="123"/>
      <c r="B729" s="123"/>
      <c r="C729" s="123"/>
      <c r="D729" s="123"/>
      <c r="E729" s="143"/>
      <c r="F729" s="14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>
      <c r="A730" s="123"/>
      <c r="B730" s="123"/>
      <c r="C730" s="123"/>
      <c r="D730" s="123"/>
      <c r="E730" s="143"/>
      <c r="F730" s="14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>
      <c r="A731" s="123"/>
      <c r="B731" s="123"/>
      <c r="C731" s="123"/>
      <c r="D731" s="123"/>
      <c r="E731" s="143"/>
      <c r="F731" s="14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>
      <c r="A732" s="123"/>
      <c r="B732" s="123"/>
      <c r="C732" s="123"/>
      <c r="D732" s="123"/>
      <c r="E732" s="143"/>
      <c r="F732" s="14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>
      <c r="A733" s="123"/>
      <c r="B733" s="123"/>
      <c r="C733" s="123"/>
      <c r="D733" s="123"/>
      <c r="E733" s="143"/>
      <c r="F733" s="14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>
      <c r="A734" s="123"/>
      <c r="B734" s="123"/>
      <c r="C734" s="123"/>
      <c r="D734" s="123"/>
      <c r="E734" s="143"/>
      <c r="F734" s="14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>
      <c r="A735" s="123"/>
      <c r="B735" s="123"/>
      <c r="C735" s="123"/>
      <c r="D735" s="123"/>
      <c r="E735" s="143"/>
      <c r="F735" s="14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>
      <c r="A736" s="123"/>
      <c r="B736" s="123"/>
      <c r="C736" s="123"/>
      <c r="D736" s="123"/>
      <c r="E736" s="143"/>
      <c r="F736" s="14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>
      <c r="A737" s="123"/>
      <c r="B737" s="123"/>
      <c r="C737" s="123"/>
      <c r="D737" s="123"/>
      <c r="E737" s="143"/>
      <c r="F737" s="14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>
      <c r="A738" s="123"/>
      <c r="B738" s="123"/>
      <c r="C738" s="123"/>
      <c r="D738" s="123"/>
      <c r="E738" s="143"/>
      <c r="F738" s="14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>
      <c r="A739" s="123"/>
      <c r="B739" s="123"/>
      <c r="C739" s="123"/>
      <c r="D739" s="123"/>
      <c r="E739" s="143"/>
      <c r="F739" s="14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>
      <c r="A740" s="123"/>
      <c r="B740" s="123"/>
      <c r="C740" s="123"/>
      <c r="D740" s="123"/>
      <c r="E740" s="143"/>
      <c r="F740" s="14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>
      <c r="A741" s="123"/>
      <c r="B741" s="123"/>
      <c r="C741" s="123"/>
      <c r="D741" s="123"/>
      <c r="E741" s="143"/>
      <c r="F741" s="14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>
      <c r="A742" s="123"/>
      <c r="B742" s="123"/>
      <c r="C742" s="123"/>
      <c r="D742" s="123"/>
      <c r="E742" s="143"/>
      <c r="F742" s="14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>
      <c r="A743" s="123"/>
      <c r="B743" s="123"/>
      <c r="C743" s="123"/>
      <c r="D743" s="123"/>
      <c r="E743" s="143"/>
      <c r="F743" s="14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>
      <c r="A744" s="123"/>
      <c r="B744" s="123"/>
      <c r="C744" s="123"/>
      <c r="D744" s="123"/>
      <c r="E744" s="143"/>
      <c r="F744" s="14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>
      <c r="A745" s="123"/>
      <c r="B745" s="123"/>
      <c r="C745" s="123"/>
      <c r="D745" s="123"/>
      <c r="E745" s="143"/>
      <c r="F745" s="14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>
      <c r="A746" s="123"/>
      <c r="B746" s="123"/>
      <c r="C746" s="123"/>
      <c r="D746" s="123"/>
      <c r="E746" s="143"/>
      <c r="F746" s="14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>
      <c r="A747" s="123"/>
      <c r="B747" s="123"/>
      <c r="C747" s="123"/>
      <c r="D747" s="123"/>
      <c r="E747" s="143"/>
      <c r="F747" s="14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>
      <c r="A748" s="123"/>
      <c r="B748" s="123"/>
      <c r="C748" s="123"/>
      <c r="D748" s="123"/>
      <c r="E748" s="143"/>
      <c r="F748" s="14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>
      <c r="A749" s="123"/>
      <c r="B749" s="123"/>
      <c r="C749" s="123"/>
      <c r="D749" s="123"/>
      <c r="E749" s="143"/>
      <c r="F749" s="14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>
      <c r="A750" s="123"/>
      <c r="B750" s="123"/>
      <c r="C750" s="123"/>
      <c r="D750" s="123"/>
      <c r="E750" s="143"/>
      <c r="F750" s="14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>
      <c r="A751" s="123"/>
      <c r="B751" s="123"/>
      <c r="C751" s="123"/>
      <c r="D751" s="123"/>
      <c r="E751" s="143"/>
      <c r="F751" s="14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>
      <c r="A752" s="123"/>
      <c r="B752" s="123"/>
      <c r="C752" s="123"/>
      <c r="D752" s="123"/>
      <c r="E752" s="143"/>
      <c r="F752" s="14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>
      <c r="A753" s="123"/>
      <c r="B753" s="123"/>
      <c r="C753" s="123"/>
      <c r="D753" s="123"/>
      <c r="E753" s="143"/>
      <c r="F753" s="14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>
      <c r="A754" s="123"/>
      <c r="B754" s="123"/>
      <c r="C754" s="123"/>
      <c r="D754" s="123"/>
      <c r="E754" s="143"/>
      <c r="F754" s="14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>
      <c r="A755" s="123"/>
      <c r="B755" s="123"/>
      <c r="C755" s="123"/>
      <c r="D755" s="123"/>
      <c r="E755" s="143"/>
      <c r="F755" s="14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>
      <c r="A756" s="123"/>
      <c r="B756" s="123"/>
      <c r="C756" s="123"/>
      <c r="D756" s="123"/>
      <c r="E756" s="143"/>
      <c r="F756" s="14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>
      <c r="A757" s="123"/>
      <c r="B757" s="123"/>
      <c r="C757" s="123"/>
      <c r="D757" s="123"/>
      <c r="E757" s="143"/>
      <c r="F757" s="14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>
      <c r="A758" s="123"/>
      <c r="B758" s="123"/>
      <c r="C758" s="123"/>
      <c r="D758" s="123"/>
      <c r="E758" s="143"/>
      <c r="F758" s="14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>
      <c r="A759" s="123"/>
      <c r="B759" s="123"/>
      <c r="C759" s="123"/>
      <c r="D759" s="123"/>
      <c r="E759" s="143"/>
      <c r="F759" s="14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>
      <c r="A760" s="123"/>
      <c r="B760" s="123"/>
      <c r="C760" s="123"/>
      <c r="D760" s="123"/>
      <c r="E760" s="143"/>
      <c r="F760" s="14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>
      <c r="A761" s="123"/>
      <c r="B761" s="123"/>
      <c r="C761" s="123"/>
      <c r="D761" s="123"/>
      <c r="E761" s="143"/>
      <c r="F761" s="14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>
      <c r="A762" s="123"/>
      <c r="B762" s="123"/>
      <c r="C762" s="123"/>
      <c r="D762" s="123"/>
      <c r="E762" s="143"/>
      <c r="F762" s="14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>
      <c r="A763" s="123"/>
      <c r="B763" s="123"/>
      <c r="C763" s="123"/>
      <c r="D763" s="123"/>
      <c r="E763" s="143"/>
      <c r="F763" s="14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>
      <c r="A764" s="123"/>
      <c r="B764" s="123"/>
      <c r="C764" s="123"/>
      <c r="D764" s="123"/>
      <c r="E764" s="143"/>
      <c r="F764" s="14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>
      <c r="A765" s="123"/>
      <c r="B765" s="123"/>
      <c r="C765" s="123"/>
      <c r="D765" s="123"/>
      <c r="E765" s="143"/>
      <c r="F765" s="14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>
      <c r="A766" s="123"/>
      <c r="B766" s="123"/>
      <c r="C766" s="123"/>
      <c r="D766" s="123"/>
      <c r="E766" s="143"/>
      <c r="F766" s="14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>
      <c r="A767" s="123"/>
      <c r="B767" s="123"/>
      <c r="C767" s="123"/>
      <c r="D767" s="123"/>
      <c r="E767" s="143"/>
      <c r="F767" s="14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>
      <c r="A768" s="123"/>
      <c r="B768" s="123"/>
      <c r="C768" s="123"/>
      <c r="D768" s="123"/>
      <c r="E768" s="143"/>
      <c r="F768" s="14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>
      <c r="A769" s="123"/>
      <c r="B769" s="123"/>
      <c r="C769" s="123"/>
      <c r="D769" s="123"/>
      <c r="E769" s="143"/>
      <c r="F769" s="14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>
      <c r="A770" s="123"/>
      <c r="B770" s="123"/>
      <c r="C770" s="123"/>
      <c r="D770" s="123"/>
      <c r="E770" s="143"/>
      <c r="F770" s="14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>
      <c r="A771" s="123"/>
      <c r="B771" s="123"/>
      <c r="C771" s="123"/>
      <c r="D771" s="123"/>
      <c r="E771" s="143"/>
      <c r="F771" s="14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>
      <c r="A772" s="123"/>
      <c r="B772" s="123"/>
      <c r="C772" s="123"/>
      <c r="D772" s="123"/>
      <c r="E772" s="143"/>
      <c r="F772" s="14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>
      <c r="A773" s="123"/>
      <c r="B773" s="123"/>
      <c r="C773" s="123"/>
      <c r="D773" s="123"/>
      <c r="E773" s="143"/>
      <c r="F773" s="14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>
      <c r="A774" s="123"/>
      <c r="B774" s="123"/>
      <c r="C774" s="123"/>
      <c r="D774" s="123"/>
      <c r="E774" s="143"/>
      <c r="F774" s="14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>
      <c r="A775" s="123"/>
      <c r="B775" s="123"/>
      <c r="C775" s="123"/>
      <c r="D775" s="123"/>
      <c r="E775" s="143"/>
      <c r="F775" s="14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>
      <c r="A776" s="123"/>
      <c r="B776" s="123"/>
      <c r="C776" s="123"/>
      <c r="D776" s="123"/>
      <c r="E776" s="143"/>
      <c r="F776" s="14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>
      <c r="A777" s="123"/>
      <c r="B777" s="123"/>
      <c r="C777" s="123"/>
      <c r="D777" s="123"/>
      <c r="E777" s="143"/>
      <c r="F777" s="14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>
      <c r="A778" s="123"/>
      <c r="B778" s="123"/>
      <c r="C778" s="123"/>
      <c r="D778" s="123"/>
      <c r="E778" s="143"/>
      <c r="F778" s="14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>
      <c r="A779" s="123"/>
      <c r="B779" s="123"/>
      <c r="C779" s="123"/>
      <c r="D779" s="123"/>
      <c r="E779" s="143"/>
      <c r="F779" s="14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>
      <c r="A780" s="123"/>
      <c r="B780" s="123"/>
      <c r="C780" s="123"/>
      <c r="D780" s="123"/>
      <c r="E780" s="143"/>
      <c r="F780" s="14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>
      <c r="A781" s="123"/>
      <c r="B781" s="123"/>
      <c r="C781" s="123"/>
      <c r="D781" s="123"/>
      <c r="E781" s="143"/>
      <c r="F781" s="14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>
      <c r="A782" s="123"/>
      <c r="B782" s="123"/>
      <c r="C782" s="123"/>
      <c r="D782" s="123"/>
      <c r="E782" s="143"/>
      <c r="F782" s="14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>
      <c r="A783" s="123"/>
      <c r="B783" s="123"/>
      <c r="C783" s="123"/>
      <c r="D783" s="123"/>
      <c r="E783" s="143"/>
      <c r="F783" s="14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>
      <c r="A784" s="123"/>
      <c r="B784" s="123"/>
      <c r="C784" s="123"/>
      <c r="D784" s="123"/>
      <c r="E784" s="143"/>
      <c r="F784" s="14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>
      <c r="A785" s="123"/>
      <c r="B785" s="123"/>
      <c r="C785" s="123"/>
      <c r="D785" s="123"/>
      <c r="E785" s="143"/>
      <c r="F785" s="14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>
      <c r="A786" s="123"/>
      <c r="B786" s="123"/>
      <c r="C786" s="123"/>
      <c r="D786" s="123"/>
      <c r="E786" s="143"/>
      <c r="F786" s="14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>
      <c r="A787" s="123"/>
      <c r="B787" s="123"/>
      <c r="C787" s="123"/>
      <c r="D787" s="123"/>
      <c r="E787" s="143"/>
      <c r="F787" s="14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>
      <c r="A788" s="123"/>
      <c r="B788" s="123"/>
      <c r="C788" s="123"/>
      <c r="D788" s="123"/>
      <c r="E788" s="143"/>
      <c r="F788" s="14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>
      <c r="A789" s="123"/>
      <c r="B789" s="123"/>
      <c r="C789" s="123"/>
      <c r="D789" s="123"/>
      <c r="E789" s="143"/>
      <c r="F789" s="14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>
      <c r="A790" s="123"/>
      <c r="B790" s="123"/>
      <c r="C790" s="123"/>
      <c r="D790" s="123"/>
      <c r="E790" s="143"/>
      <c r="F790" s="14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>
      <c r="A791" s="123"/>
      <c r="B791" s="123"/>
      <c r="C791" s="123"/>
      <c r="D791" s="123"/>
      <c r="E791" s="143"/>
      <c r="F791" s="14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>
      <c r="A792" s="123"/>
      <c r="B792" s="123"/>
      <c r="C792" s="123"/>
      <c r="D792" s="123"/>
      <c r="E792" s="143"/>
      <c r="F792" s="14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>
      <c r="A793" s="123"/>
      <c r="B793" s="123"/>
      <c r="C793" s="123"/>
      <c r="D793" s="123"/>
      <c r="E793" s="143"/>
      <c r="F793" s="14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>
      <c r="A794" s="123"/>
      <c r="B794" s="123"/>
      <c r="C794" s="123"/>
      <c r="D794" s="123"/>
      <c r="E794" s="143"/>
      <c r="F794" s="14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>
      <c r="A795" s="123"/>
      <c r="B795" s="123"/>
      <c r="C795" s="123"/>
      <c r="D795" s="123"/>
      <c r="E795" s="143"/>
      <c r="F795" s="14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>
      <c r="A796" s="123"/>
      <c r="B796" s="123"/>
      <c r="C796" s="123"/>
      <c r="D796" s="123"/>
      <c r="E796" s="143"/>
      <c r="F796" s="14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>
      <c r="A797" s="123"/>
      <c r="B797" s="123"/>
      <c r="C797" s="123"/>
      <c r="D797" s="123"/>
      <c r="E797" s="143"/>
      <c r="F797" s="14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>
      <c r="A798" s="123"/>
      <c r="B798" s="123"/>
      <c r="C798" s="123"/>
      <c r="D798" s="123"/>
      <c r="E798" s="143"/>
      <c r="F798" s="14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>
      <c r="A799" s="123"/>
      <c r="B799" s="123"/>
      <c r="C799" s="123"/>
      <c r="D799" s="123"/>
      <c r="E799" s="143"/>
      <c r="F799" s="14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>
      <c r="A800" s="123"/>
      <c r="B800" s="123"/>
      <c r="C800" s="123"/>
      <c r="D800" s="123"/>
      <c r="E800" s="143"/>
      <c r="F800" s="14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>
      <c r="A801" s="123"/>
      <c r="B801" s="123"/>
      <c r="C801" s="123"/>
      <c r="D801" s="123"/>
      <c r="E801" s="143"/>
      <c r="F801" s="14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>
      <c r="A802" s="123"/>
      <c r="B802" s="123"/>
      <c r="C802" s="123"/>
      <c r="D802" s="123"/>
      <c r="E802" s="143"/>
      <c r="F802" s="14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>
      <c r="A803" s="123"/>
      <c r="B803" s="123"/>
      <c r="C803" s="123"/>
      <c r="D803" s="123"/>
      <c r="E803" s="143"/>
      <c r="F803" s="14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>
      <c r="A804" s="123"/>
      <c r="B804" s="123"/>
      <c r="C804" s="123"/>
      <c r="D804" s="123"/>
      <c r="E804" s="143"/>
      <c r="F804" s="14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>
      <c r="A805" s="123"/>
      <c r="B805" s="123"/>
      <c r="C805" s="123"/>
      <c r="D805" s="123"/>
      <c r="E805" s="143"/>
      <c r="F805" s="14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>
      <c r="A806" s="123"/>
      <c r="B806" s="123"/>
      <c r="C806" s="123"/>
      <c r="D806" s="123"/>
      <c r="E806" s="143"/>
      <c r="F806" s="14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>
      <c r="A807" s="123"/>
      <c r="B807" s="123"/>
      <c r="C807" s="123"/>
      <c r="D807" s="123"/>
      <c r="E807" s="143"/>
      <c r="F807" s="14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>
      <c r="A808" s="123"/>
      <c r="B808" s="123"/>
      <c r="C808" s="123"/>
      <c r="D808" s="123"/>
      <c r="E808" s="143"/>
      <c r="F808" s="14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>
      <c r="A809" s="123"/>
      <c r="B809" s="123"/>
      <c r="C809" s="123"/>
      <c r="D809" s="123"/>
      <c r="E809" s="143"/>
      <c r="F809" s="14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>
      <c r="A810" s="123"/>
      <c r="B810" s="123"/>
      <c r="C810" s="123"/>
      <c r="D810" s="123"/>
      <c r="E810" s="143"/>
      <c r="F810" s="14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>
      <c r="A811" s="123"/>
      <c r="B811" s="123"/>
      <c r="C811" s="123"/>
      <c r="D811" s="123"/>
      <c r="E811" s="143"/>
      <c r="F811" s="14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>
      <c r="A812" s="123"/>
      <c r="B812" s="123"/>
      <c r="C812" s="123"/>
      <c r="D812" s="123"/>
      <c r="E812" s="143"/>
      <c r="F812" s="14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>
      <c r="A813" s="123"/>
      <c r="B813" s="123"/>
      <c r="C813" s="123"/>
      <c r="D813" s="123"/>
      <c r="E813" s="143"/>
      <c r="F813" s="14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>
      <c r="A814" s="123"/>
      <c r="B814" s="123"/>
      <c r="C814" s="123"/>
      <c r="D814" s="123"/>
      <c r="E814" s="143"/>
      <c r="F814" s="14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>
      <c r="A815" s="123"/>
      <c r="B815" s="123"/>
      <c r="C815" s="123"/>
      <c r="D815" s="123"/>
      <c r="E815" s="143"/>
      <c r="F815" s="14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>
      <c r="A816" s="123"/>
      <c r="B816" s="123"/>
      <c r="C816" s="123"/>
      <c r="D816" s="123"/>
      <c r="E816" s="143"/>
      <c r="F816" s="14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>
      <c r="A817" s="123"/>
      <c r="B817" s="123"/>
      <c r="C817" s="123"/>
      <c r="D817" s="123"/>
      <c r="E817" s="143"/>
      <c r="F817" s="14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>
      <c r="A818" s="123"/>
      <c r="B818" s="123"/>
      <c r="C818" s="123"/>
      <c r="D818" s="123"/>
      <c r="E818" s="143"/>
      <c r="F818" s="14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>
      <c r="A819" s="123"/>
      <c r="B819" s="123"/>
      <c r="C819" s="123"/>
      <c r="D819" s="123"/>
      <c r="E819" s="143"/>
      <c r="F819" s="14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>
      <c r="A820" s="123"/>
      <c r="B820" s="123"/>
      <c r="C820" s="123"/>
      <c r="D820" s="123"/>
      <c r="E820" s="143"/>
      <c r="F820" s="14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>
      <c r="A821" s="123"/>
      <c r="B821" s="123"/>
      <c r="C821" s="123"/>
      <c r="D821" s="123"/>
      <c r="E821" s="143"/>
      <c r="F821" s="14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>
      <c r="A822" s="123"/>
      <c r="B822" s="123"/>
      <c r="C822" s="123"/>
      <c r="D822" s="123"/>
      <c r="E822" s="143"/>
      <c r="F822" s="14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>
      <c r="A823" s="123"/>
      <c r="B823" s="123"/>
      <c r="C823" s="123"/>
      <c r="D823" s="123"/>
      <c r="E823" s="143"/>
      <c r="F823" s="14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>
      <c r="A824" s="123"/>
      <c r="B824" s="123"/>
      <c r="C824" s="123"/>
      <c r="D824" s="123"/>
      <c r="E824" s="143"/>
      <c r="F824" s="14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>
      <c r="A825" s="123"/>
      <c r="B825" s="123"/>
      <c r="C825" s="123"/>
      <c r="D825" s="123"/>
      <c r="E825" s="143"/>
      <c r="F825" s="14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>
      <c r="A826" s="123"/>
      <c r="B826" s="123"/>
      <c r="C826" s="123"/>
      <c r="D826" s="123"/>
      <c r="E826" s="143"/>
      <c r="F826" s="14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>
      <c r="A827" s="123"/>
      <c r="B827" s="123"/>
      <c r="C827" s="123"/>
      <c r="D827" s="123"/>
      <c r="E827" s="143"/>
      <c r="F827" s="14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>
      <c r="A828" s="123"/>
      <c r="B828" s="123"/>
      <c r="C828" s="123"/>
      <c r="D828" s="123"/>
      <c r="E828" s="143"/>
      <c r="F828" s="14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>
      <c r="A829" s="123"/>
      <c r="B829" s="123"/>
      <c r="C829" s="123"/>
      <c r="D829" s="123"/>
      <c r="E829" s="143"/>
      <c r="F829" s="14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>
      <c r="A830" s="123"/>
      <c r="B830" s="123"/>
      <c r="C830" s="123"/>
      <c r="D830" s="123"/>
      <c r="E830" s="143"/>
      <c r="F830" s="14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>
      <c r="A831" s="123"/>
      <c r="B831" s="123"/>
      <c r="C831" s="123"/>
      <c r="D831" s="123"/>
      <c r="E831" s="143"/>
      <c r="F831" s="14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>
      <c r="A832" s="123"/>
      <c r="B832" s="123"/>
      <c r="C832" s="123"/>
      <c r="D832" s="123"/>
      <c r="E832" s="143"/>
      <c r="F832" s="14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>
      <c r="A833" s="123"/>
      <c r="B833" s="123"/>
      <c r="C833" s="123"/>
      <c r="D833" s="123"/>
      <c r="E833" s="143"/>
      <c r="F833" s="14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>
      <c r="A834" s="123"/>
      <c r="B834" s="123"/>
      <c r="C834" s="123"/>
      <c r="D834" s="123"/>
      <c r="E834" s="143"/>
      <c r="F834" s="14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>
      <c r="A835" s="123"/>
      <c r="B835" s="123"/>
      <c r="C835" s="123"/>
      <c r="D835" s="123"/>
      <c r="E835" s="143"/>
      <c r="F835" s="14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>
      <c r="A836" s="123"/>
      <c r="B836" s="123"/>
      <c r="C836" s="123"/>
      <c r="D836" s="123"/>
      <c r="E836" s="143"/>
      <c r="F836" s="14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>
      <c r="A837" s="123"/>
      <c r="B837" s="123"/>
      <c r="C837" s="123"/>
      <c r="D837" s="123"/>
      <c r="E837" s="143"/>
      <c r="F837" s="14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>
      <c r="A838" s="123"/>
      <c r="B838" s="123"/>
      <c r="C838" s="123"/>
      <c r="D838" s="123"/>
      <c r="E838" s="143"/>
      <c r="F838" s="14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>
      <c r="A839" s="123"/>
      <c r="B839" s="123"/>
      <c r="C839" s="123"/>
      <c r="D839" s="123"/>
      <c r="E839" s="143"/>
      <c r="F839" s="14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>
      <c r="A840" s="123"/>
      <c r="B840" s="123"/>
      <c r="C840" s="123"/>
      <c r="D840" s="123"/>
      <c r="E840" s="143"/>
      <c r="F840" s="14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>
      <c r="A841" s="123"/>
      <c r="B841" s="123"/>
      <c r="C841" s="123"/>
      <c r="D841" s="123"/>
      <c r="E841" s="143"/>
      <c r="F841" s="14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>
      <c r="A842" s="123"/>
      <c r="B842" s="123"/>
      <c r="C842" s="123"/>
      <c r="D842" s="123"/>
      <c r="E842" s="143"/>
      <c r="F842" s="14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>
      <c r="A843" s="123"/>
      <c r="B843" s="123"/>
      <c r="C843" s="123"/>
      <c r="D843" s="123"/>
      <c r="E843" s="143"/>
      <c r="F843" s="14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>
      <c r="A844" s="123"/>
      <c r="B844" s="123"/>
      <c r="C844" s="123"/>
      <c r="D844" s="123"/>
      <c r="E844" s="143"/>
      <c r="F844" s="14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>
      <c r="A845" s="123"/>
      <c r="B845" s="123"/>
      <c r="C845" s="123"/>
      <c r="D845" s="123"/>
      <c r="E845" s="143"/>
      <c r="F845" s="14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>
      <c r="A846" s="123"/>
      <c r="B846" s="123"/>
      <c r="C846" s="123"/>
      <c r="D846" s="123"/>
      <c r="E846" s="143"/>
      <c r="F846" s="14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>
      <c r="A847" s="123"/>
      <c r="B847" s="123"/>
      <c r="C847" s="123"/>
      <c r="D847" s="123"/>
      <c r="E847" s="143"/>
      <c r="F847" s="14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>
      <c r="A848" s="123"/>
      <c r="B848" s="123"/>
      <c r="C848" s="123"/>
      <c r="D848" s="123"/>
      <c r="E848" s="143"/>
      <c r="F848" s="14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>
      <c r="A849" s="123"/>
      <c r="B849" s="123"/>
      <c r="C849" s="123"/>
      <c r="D849" s="123"/>
      <c r="E849" s="143"/>
      <c r="F849" s="14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>
      <c r="A850" s="123"/>
      <c r="B850" s="123"/>
      <c r="C850" s="123"/>
      <c r="D850" s="123"/>
      <c r="E850" s="143"/>
      <c r="F850" s="14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>
      <c r="A851" s="123"/>
      <c r="B851" s="123"/>
      <c r="C851" s="123"/>
      <c r="D851" s="123"/>
      <c r="E851" s="143"/>
      <c r="F851" s="14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>
      <c r="A852" s="123"/>
      <c r="B852" s="123"/>
      <c r="C852" s="123"/>
      <c r="D852" s="123"/>
      <c r="E852" s="143"/>
      <c r="F852" s="14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>
      <c r="A853" s="123"/>
      <c r="B853" s="123"/>
      <c r="C853" s="123"/>
      <c r="D853" s="123"/>
      <c r="E853" s="143"/>
      <c r="F853" s="14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>
      <c r="A854" s="123"/>
      <c r="B854" s="123"/>
      <c r="C854" s="123"/>
      <c r="D854" s="123"/>
      <c r="E854" s="143"/>
      <c r="F854" s="14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>
      <c r="A855" s="123"/>
      <c r="B855" s="123"/>
      <c r="C855" s="123"/>
      <c r="D855" s="123"/>
      <c r="E855" s="143"/>
      <c r="F855" s="14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>
      <c r="A856" s="123"/>
      <c r="B856" s="123"/>
      <c r="C856" s="123"/>
      <c r="D856" s="123"/>
      <c r="E856" s="143"/>
      <c r="F856" s="14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>
      <c r="A857" s="123"/>
      <c r="B857" s="123"/>
      <c r="C857" s="123"/>
      <c r="D857" s="123"/>
      <c r="E857" s="143"/>
      <c r="F857" s="14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>
      <c r="A858" s="123"/>
      <c r="B858" s="123"/>
      <c r="C858" s="123"/>
      <c r="D858" s="123"/>
      <c r="E858" s="143"/>
      <c r="F858" s="14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>
      <c r="A859" s="123"/>
      <c r="B859" s="123"/>
      <c r="C859" s="123"/>
      <c r="D859" s="123"/>
      <c r="E859" s="143"/>
      <c r="F859" s="14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>
      <c r="A860" s="123"/>
      <c r="B860" s="123"/>
      <c r="C860" s="123"/>
      <c r="D860" s="123"/>
      <c r="E860" s="143"/>
      <c r="F860" s="14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>
      <c r="A861" s="123"/>
      <c r="B861" s="123"/>
      <c r="C861" s="123"/>
      <c r="D861" s="123"/>
      <c r="E861" s="143"/>
      <c r="F861" s="14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>
      <c r="A862" s="123"/>
      <c r="B862" s="123"/>
      <c r="C862" s="123"/>
      <c r="D862" s="123"/>
      <c r="E862" s="143"/>
      <c r="F862" s="14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>
      <c r="A863" s="123"/>
      <c r="B863" s="123"/>
      <c r="C863" s="123"/>
      <c r="D863" s="123"/>
      <c r="E863" s="143"/>
      <c r="F863" s="14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>
      <c r="A864" s="123"/>
      <c r="B864" s="123"/>
      <c r="C864" s="123"/>
      <c r="D864" s="123"/>
      <c r="E864" s="143"/>
      <c r="F864" s="14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>
      <c r="A865" s="123"/>
      <c r="B865" s="123"/>
      <c r="C865" s="123"/>
      <c r="D865" s="123"/>
      <c r="E865" s="143"/>
      <c r="F865" s="14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>
      <c r="A866" s="123"/>
      <c r="B866" s="123"/>
      <c r="C866" s="123"/>
      <c r="D866" s="123"/>
      <c r="E866" s="143"/>
      <c r="F866" s="14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>
      <c r="A867" s="123"/>
      <c r="B867" s="123"/>
      <c r="C867" s="123"/>
      <c r="D867" s="123"/>
      <c r="E867" s="143"/>
      <c r="F867" s="14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>
      <c r="A868" s="123"/>
      <c r="B868" s="123"/>
      <c r="C868" s="123"/>
      <c r="D868" s="123"/>
      <c r="E868" s="143"/>
      <c r="F868" s="14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>
      <c r="A869" s="123"/>
      <c r="B869" s="123"/>
      <c r="C869" s="123"/>
      <c r="D869" s="123"/>
      <c r="E869" s="143"/>
      <c r="F869" s="14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>
      <c r="A870" s="123"/>
      <c r="B870" s="123"/>
      <c r="C870" s="123"/>
      <c r="D870" s="123"/>
      <c r="E870" s="143"/>
      <c r="F870" s="14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>
      <c r="A871" s="123"/>
      <c r="B871" s="123"/>
      <c r="C871" s="123"/>
      <c r="D871" s="123"/>
      <c r="E871" s="143"/>
      <c r="F871" s="14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>
      <c r="A872" s="123"/>
      <c r="B872" s="123"/>
      <c r="C872" s="123"/>
      <c r="D872" s="123"/>
      <c r="E872" s="143"/>
      <c r="F872" s="14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>
      <c r="A873" s="123"/>
      <c r="B873" s="123"/>
      <c r="C873" s="123"/>
      <c r="D873" s="123"/>
      <c r="E873" s="143"/>
      <c r="F873" s="14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>
      <c r="A874" s="123"/>
      <c r="B874" s="123"/>
      <c r="C874" s="123"/>
      <c r="D874" s="123"/>
      <c r="E874" s="143"/>
      <c r="F874" s="14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>
      <c r="A875" s="123"/>
      <c r="B875" s="123"/>
      <c r="C875" s="123"/>
      <c r="D875" s="123"/>
      <c r="E875" s="143"/>
      <c r="F875" s="14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>
      <c r="A876" s="123"/>
      <c r="B876" s="123"/>
      <c r="C876" s="123"/>
      <c r="D876" s="123"/>
      <c r="E876" s="143"/>
      <c r="F876" s="14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>
      <c r="A877" s="123"/>
      <c r="B877" s="123"/>
      <c r="C877" s="123"/>
      <c r="D877" s="123"/>
      <c r="E877" s="143"/>
      <c r="F877" s="14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>
      <c r="A878" s="123"/>
      <c r="B878" s="123"/>
      <c r="C878" s="123"/>
      <c r="D878" s="123"/>
      <c r="E878" s="143"/>
      <c r="F878" s="14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>
      <c r="A879" s="123"/>
      <c r="B879" s="123"/>
      <c r="C879" s="123"/>
      <c r="D879" s="123"/>
      <c r="E879" s="143"/>
      <c r="F879" s="14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>
      <c r="A880" s="123"/>
      <c r="B880" s="123"/>
      <c r="C880" s="123"/>
      <c r="D880" s="123"/>
      <c r="E880" s="143"/>
      <c r="F880" s="14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>
      <c r="A881" s="123"/>
      <c r="B881" s="123"/>
      <c r="C881" s="123"/>
      <c r="D881" s="123"/>
      <c r="E881" s="143"/>
      <c r="F881" s="14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>
      <c r="A882" s="123"/>
      <c r="B882" s="123"/>
      <c r="C882" s="123"/>
      <c r="D882" s="123"/>
      <c r="E882" s="143"/>
      <c r="F882" s="14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>
      <c r="A883" s="123"/>
      <c r="B883" s="123"/>
      <c r="C883" s="123"/>
      <c r="D883" s="123"/>
      <c r="E883" s="143"/>
      <c r="F883" s="14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>
      <c r="A884" s="123"/>
      <c r="B884" s="123"/>
      <c r="C884" s="123"/>
      <c r="D884" s="123"/>
      <c r="E884" s="143"/>
      <c r="F884" s="14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>
      <c r="A885" s="123"/>
      <c r="B885" s="123"/>
      <c r="C885" s="123"/>
      <c r="D885" s="123"/>
      <c r="E885" s="143"/>
      <c r="F885" s="14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>
      <c r="A886" s="123"/>
      <c r="B886" s="123"/>
      <c r="C886" s="123"/>
      <c r="D886" s="123"/>
      <c r="E886" s="143"/>
      <c r="F886" s="14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>
      <c r="A887" s="123"/>
      <c r="B887" s="123"/>
      <c r="C887" s="123"/>
      <c r="D887" s="123"/>
      <c r="E887" s="143"/>
      <c r="F887" s="14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>
      <c r="A888" s="123"/>
      <c r="B888" s="123"/>
      <c r="C888" s="123"/>
      <c r="D888" s="123"/>
      <c r="E888" s="143"/>
      <c r="F888" s="14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>
      <c r="A889" s="123"/>
      <c r="B889" s="123"/>
      <c r="C889" s="123"/>
      <c r="D889" s="123"/>
      <c r="E889" s="143"/>
      <c r="F889" s="14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>
      <c r="A890" s="123"/>
      <c r="B890" s="123"/>
      <c r="C890" s="123"/>
      <c r="D890" s="123"/>
      <c r="E890" s="143"/>
      <c r="F890" s="14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>
      <c r="A891" s="123"/>
      <c r="B891" s="123"/>
      <c r="C891" s="123"/>
      <c r="D891" s="123"/>
      <c r="E891" s="143"/>
      <c r="F891" s="14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>
      <c r="A892" s="123"/>
      <c r="B892" s="123"/>
      <c r="C892" s="123"/>
      <c r="D892" s="123"/>
      <c r="E892" s="143"/>
      <c r="F892" s="14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>
      <c r="A893" s="123"/>
      <c r="B893" s="123"/>
      <c r="C893" s="123"/>
      <c r="D893" s="123"/>
      <c r="E893" s="143"/>
      <c r="F893" s="14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>
      <c r="A894" s="123"/>
      <c r="B894" s="123"/>
      <c r="C894" s="123"/>
      <c r="D894" s="123"/>
      <c r="E894" s="143"/>
      <c r="F894" s="14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>
      <c r="A895" s="123"/>
      <c r="B895" s="123"/>
      <c r="C895" s="123"/>
      <c r="D895" s="123"/>
      <c r="E895" s="143"/>
      <c r="F895" s="14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>
      <c r="A896" s="123"/>
      <c r="B896" s="123"/>
      <c r="C896" s="123"/>
      <c r="D896" s="123"/>
      <c r="E896" s="143"/>
      <c r="F896" s="14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>
      <c r="A897" s="123"/>
      <c r="B897" s="123"/>
      <c r="C897" s="123"/>
      <c r="D897" s="123"/>
      <c r="E897" s="143"/>
      <c r="F897" s="14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>
      <c r="A898" s="123"/>
      <c r="B898" s="123"/>
      <c r="C898" s="123"/>
      <c r="D898" s="123"/>
      <c r="E898" s="143"/>
      <c r="F898" s="14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>
      <c r="A899" s="123"/>
      <c r="B899" s="123"/>
      <c r="C899" s="123"/>
      <c r="D899" s="123"/>
      <c r="E899" s="143"/>
      <c r="F899" s="14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>
      <c r="A900" s="123"/>
      <c r="B900" s="123"/>
      <c r="C900" s="123"/>
      <c r="D900" s="123"/>
      <c r="E900" s="143"/>
      <c r="F900" s="14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>
      <c r="A901" s="123"/>
      <c r="B901" s="123"/>
      <c r="C901" s="123"/>
      <c r="D901" s="123"/>
      <c r="E901" s="143"/>
      <c r="F901" s="14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>
      <c r="A902" s="123"/>
      <c r="B902" s="123"/>
      <c r="C902" s="123"/>
      <c r="D902" s="123"/>
      <c r="E902" s="143"/>
      <c r="F902" s="14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>
      <c r="A903" s="123"/>
      <c r="B903" s="123"/>
      <c r="C903" s="123"/>
      <c r="D903" s="123"/>
      <c r="E903" s="143"/>
      <c r="F903" s="14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>
      <c r="A904" s="123"/>
      <c r="B904" s="123"/>
      <c r="C904" s="123"/>
      <c r="D904" s="123"/>
      <c r="E904" s="143"/>
      <c r="F904" s="14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>
      <c r="A905" s="123"/>
      <c r="B905" s="123"/>
      <c r="C905" s="123"/>
      <c r="D905" s="123"/>
      <c r="E905" s="143"/>
      <c r="F905" s="14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>
      <c r="A906" s="123"/>
      <c r="B906" s="123"/>
      <c r="C906" s="123"/>
      <c r="D906" s="123"/>
      <c r="E906" s="143"/>
      <c r="F906" s="14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>
      <c r="A907" s="123"/>
      <c r="B907" s="123"/>
      <c r="C907" s="123"/>
      <c r="D907" s="123"/>
      <c r="E907" s="143"/>
      <c r="F907" s="14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>
      <c r="A908" s="123"/>
      <c r="B908" s="123"/>
      <c r="C908" s="123"/>
      <c r="D908" s="123"/>
      <c r="E908" s="143"/>
      <c r="F908" s="14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>
      <c r="A909" s="123"/>
      <c r="B909" s="123"/>
      <c r="C909" s="123"/>
      <c r="D909" s="123"/>
      <c r="E909" s="143"/>
      <c r="F909" s="14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>
      <c r="A910" s="123"/>
      <c r="B910" s="123"/>
      <c r="C910" s="123"/>
      <c r="D910" s="123"/>
      <c r="E910" s="143"/>
      <c r="F910" s="14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>
      <c r="A911" s="123"/>
      <c r="B911" s="123"/>
      <c r="C911" s="123"/>
      <c r="D911" s="123"/>
      <c r="E911" s="143"/>
      <c r="F911" s="14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>
      <c r="A912" s="123"/>
      <c r="B912" s="123"/>
      <c r="C912" s="123"/>
      <c r="D912" s="123"/>
      <c r="E912" s="143"/>
      <c r="F912" s="14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>
      <c r="A913" s="123"/>
      <c r="B913" s="123"/>
      <c r="C913" s="123"/>
      <c r="D913" s="123"/>
      <c r="E913" s="143"/>
      <c r="F913" s="14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>
      <c r="A914" s="123"/>
      <c r="B914" s="123"/>
      <c r="C914" s="123"/>
      <c r="D914" s="123"/>
      <c r="E914" s="143"/>
      <c r="F914" s="14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>
      <c r="A915" s="123"/>
      <c r="B915" s="123"/>
      <c r="C915" s="123"/>
      <c r="D915" s="123"/>
      <c r="E915" s="143"/>
      <c r="F915" s="14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>
      <c r="A916" s="123"/>
      <c r="B916" s="123"/>
      <c r="C916" s="123"/>
      <c r="D916" s="123"/>
      <c r="E916" s="143"/>
      <c r="F916" s="14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>
      <c r="A917" s="123"/>
      <c r="B917" s="123"/>
      <c r="C917" s="123"/>
      <c r="D917" s="123"/>
      <c r="E917" s="143"/>
      <c r="F917" s="14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>
      <c r="A918" s="123"/>
      <c r="B918" s="123"/>
      <c r="C918" s="123"/>
      <c r="D918" s="123"/>
      <c r="E918" s="143"/>
      <c r="F918" s="14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>
      <c r="A919" s="123"/>
      <c r="B919" s="123"/>
      <c r="C919" s="123"/>
      <c r="D919" s="123"/>
      <c r="E919" s="143"/>
      <c r="F919" s="14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>
      <c r="A920" s="123"/>
      <c r="B920" s="123"/>
      <c r="C920" s="123"/>
      <c r="D920" s="123"/>
      <c r="E920" s="143"/>
      <c r="F920" s="14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>
      <c r="A921" s="123"/>
      <c r="B921" s="123"/>
      <c r="C921" s="123"/>
      <c r="D921" s="123"/>
      <c r="E921" s="143"/>
      <c r="F921" s="14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>
      <c r="A922" s="123"/>
      <c r="B922" s="123"/>
      <c r="C922" s="123"/>
      <c r="D922" s="123"/>
      <c r="E922" s="143"/>
      <c r="F922" s="14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>
      <c r="A923" s="123"/>
      <c r="B923" s="123"/>
      <c r="C923" s="123"/>
      <c r="D923" s="123"/>
      <c r="E923" s="143"/>
      <c r="F923" s="14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>
      <c r="A924" s="123"/>
      <c r="B924" s="123"/>
      <c r="C924" s="123"/>
      <c r="D924" s="123"/>
      <c r="E924" s="143"/>
      <c r="F924" s="14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>
      <c r="A925" s="123"/>
      <c r="B925" s="123"/>
      <c r="C925" s="123"/>
      <c r="D925" s="123"/>
      <c r="E925" s="143"/>
      <c r="F925" s="14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>
      <c r="A926" s="123"/>
      <c r="B926" s="123"/>
      <c r="C926" s="123"/>
      <c r="D926" s="123"/>
      <c r="E926" s="143"/>
      <c r="F926" s="14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>
      <c r="A927" s="123"/>
      <c r="B927" s="123"/>
      <c r="C927" s="123"/>
      <c r="D927" s="123"/>
      <c r="E927" s="143"/>
      <c r="F927" s="14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>
      <c r="A928" s="123"/>
      <c r="B928" s="123"/>
      <c r="C928" s="123"/>
      <c r="D928" s="123"/>
      <c r="E928" s="143"/>
      <c r="F928" s="14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>
      <c r="A929" s="123"/>
      <c r="B929" s="123"/>
      <c r="C929" s="123"/>
      <c r="D929" s="123"/>
      <c r="E929" s="143"/>
      <c r="F929" s="14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>
      <c r="A930" s="123"/>
      <c r="B930" s="123"/>
      <c r="C930" s="123"/>
      <c r="D930" s="123"/>
      <c r="E930" s="143"/>
      <c r="F930" s="14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>
      <c r="A931" s="123"/>
      <c r="B931" s="123"/>
      <c r="C931" s="123"/>
      <c r="D931" s="123"/>
      <c r="E931" s="143"/>
      <c r="F931" s="14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>
      <c r="A932" s="123"/>
      <c r="B932" s="123"/>
      <c r="C932" s="123"/>
      <c r="D932" s="123"/>
      <c r="E932" s="143"/>
      <c r="F932" s="14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>
      <c r="A933" s="123"/>
      <c r="B933" s="123"/>
      <c r="C933" s="123"/>
      <c r="D933" s="123"/>
      <c r="E933" s="143"/>
      <c r="F933" s="14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>
      <c r="A934" s="123"/>
      <c r="B934" s="123"/>
      <c r="C934" s="123"/>
      <c r="D934" s="123"/>
      <c r="E934" s="143"/>
      <c r="F934" s="14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>
      <c r="A935" s="123"/>
      <c r="B935" s="123"/>
      <c r="C935" s="123"/>
      <c r="D935" s="123"/>
      <c r="E935" s="143"/>
      <c r="F935" s="14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>
      <c r="A936" s="123"/>
      <c r="B936" s="123"/>
      <c r="C936" s="123"/>
      <c r="D936" s="123"/>
      <c r="E936" s="143"/>
      <c r="F936" s="14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>
      <c r="A937" s="123"/>
      <c r="B937" s="123"/>
      <c r="C937" s="123"/>
      <c r="D937" s="123"/>
      <c r="E937" s="143"/>
      <c r="F937" s="14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>
      <c r="A938" s="123"/>
      <c r="B938" s="123"/>
      <c r="C938" s="123"/>
      <c r="D938" s="123"/>
      <c r="E938" s="143"/>
      <c r="F938" s="14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>
      <c r="A939" s="123"/>
      <c r="B939" s="123"/>
      <c r="C939" s="123"/>
      <c r="D939" s="123"/>
      <c r="E939" s="143"/>
      <c r="F939" s="14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>
      <c r="A940" s="123"/>
      <c r="B940" s="123"/>
      <c r="C940" s="123"/>
      <c r="D940" s="123"/>
      <c r="E940" s="143"/>
      <c r="F940" s="14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>
      <c r="A941" s="123"/>
      <c r="B941" s="123"/>
      <c r="C941" s="123"/>
      <c r="D941" s="123"/>
      <c r="E941" s="143"/>
      <c r="F941" s="14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>
      <c r="A942" s="123"/>
      <c r="B942" s="123"/>
      <c r="C942" s="123"/>
      <c r="D942" s="123"/>
      <c r="E942" s="143"/>
      <c r="F942" s="14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>
      <c r="A943" s="123"/>
      <c r="B943" s="123"/>
      <c r="C943" s="123"/>
      <c r="D943" s="123"/>
      <c r="E943" s="143"/>
      <c r="F943" s="14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>
      <c r="A944" s="123"/>
      <c r="B944" s="123"/>
      <c r="C944" s="123"/>
      <c r="D944" s="123"/>
      <c r="E944" s="143"/>
      <c r="F944" s="14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>
      <c r="A945" s="123"/>
      <c r="B945" s="123"/>
      <c r="C945" s="123"/>
      <c r="D945" s="123"/>
      <c r="E945" s="143"/>
      <c r="F945" s="14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>
      <c r="A946" s="123"/>
      <c r="B946" s="123"/>
      <c r="C946" s="123"/>
      <c r="D946" s="123"/>
      <c r="E946" s="143"/>
      <c r="F946" s="14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>
      <c r="A947" s="123"/>
      <c r="B947" s="123"/>
      <c r="C947" s="123"/>
      <c r="D947" s="123"/>
      <c r="E947" s="143"/>
      <c r="F947" s="14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>
      <c r="A948" s="123"/>
      <c r="B948" s="123"/>
      <c r="C948" s="123"/>
      <c r="D948" s="123"/>
      <c r="E948" s="143"/>
      <c r="F948" s="14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>
      <c r="A949" s="123"/>
      <c r="B949" s="123"/>
      <c r="C949" s="123"/>
      <c r="D949" s="123"/>
      <c r="E949" s="143"/>
      <c r="F949" s="14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>
      <c r="A950" s="123"/>
      <c r="B950" s="123"/>
      <c r="C950" s="123"/>
      <c r="D950" s="123"/>
      <c r="E950" s="143"/>
      <c r="F950" s="14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>
      <c r="A951" s="123"/>
      <c r="B951" s="123"/>
      <c r="C951" s="123"/>
      <c r="D951" s="123"/>
      <c r="E951" s="143"/>
      <c r="F951" s="14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>
      <c r="A952" s="123"/>
      <c r="B952" s="123"/>
      <c r="C952" s="123"/>
      <c r="D952" s="123"/>
      <c r="E952" s="143"/>
      <c r="F952" s="14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>
      <c r="A953" s="123"/>
      <c r="B953" s="123"/>
      <c r="C953" s="123"/>
      <c r="D953" s="123"/>
      <c r="E953" s="143"/>
      <c r="F953" s="14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>
      <c r="A954" s="123"/>
      <c r="B954" s="123"/>
      <c r="C954" s="123"/>
      <c r="D954" s="123"/>
      <c r="E954" s="143"/>
      <c r="F954" s="14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>
      <c r="A955" s="123"/>
      <c r="B955" s="123"/>
      <c r="C955" s="123"/>
      <c r="D955" s="123"/>
      <c r="E955" s="143"/>
      <c r="F955" s="14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>
      <c r="A956" s="123"/>
      <c r="B956" s="123"/>
      <c r="C956" s="123"/>
      <c r="D956" s="123"/>
      <c r="E956" s="143"/>
      <c r="F956" s="14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>
      <c r="A957" s="123"/>
      <c r="B957" s="123"/>
      <c r="C957" s="123"/>
      <c r="D957" s="123"/>
      <c r="E957" s="143"/>
      <c r="F957" s="14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>
      <c r="A958" s="123"/>
      <c r="B958" s="123"/>
      <c r="C958" s="123"/>
      <c r="D958" s="123"/>
      <c r="E958" s="143"/>
      <c r="F958" s="14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>
      <c r="A959" s="123"/>
      <c r="B959" s="123"/>
      <c r="C959" s="123"/>
      <c r="D959" s="123"/>
      <c r="E959" s="143"/>
      <c r="F959" s="14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>
      <c r="A960" s="123"/>
      <c r="B960" s="123"/>
      <c r="C960" s="123"/>
      <c r="D960" s="123"/>
      <c r="E960" s="143"/>
      <c r="F960" s="14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>
      <c r="A961" s="123"/>
      <c r="B961" s="123"/>
      <c r="C961" s="123"/>
      <c r="D961" s="123"/>
      <c r="E961" s="143"/>
      <c r="F961" s="14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>
      <c r="A962" s="123"/>
      <c r="B962" s="123"/>
      <c r="C962" s="123"/>
      <c r="D962" s="123"/>
      <c r="E962" s="143"/>
      <c r="F962" s="14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>
      <c r="A963" s="123"/>
      <c r="B963" s="123"/>
      <c r="C963" s="123"/>
      <c r="D963" s="123"/>
      <c r="E963" s="143"/>
      <c r="F963" s="14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>
      <c r="A964" s="123"/>
      <c r="B964" s="123"/>
      <c r="C964" s="123"/>
      <c r="D964" s="123"/>
      <c r="E964" s="143"/>
      <c r="F964" s="14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>
      <c r="A965" s="123"/>
      <c r="B965" s="123"/>
      <c r="C965" s="123"/>
      <c r="D965" s="123"/>
      <c r="E965" s="143"/>
      <c r="F965" s="14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>
      <c r="A966" s="123"/>
      <c r="B966" s="123"/>
      <c r="C966" s="123"/>
      <c r="D966" s="123"/>
      <c r="E966" s="143"/>
      <c r="F966" s="14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>
      <c r="A967" s="123"/>
      <c r="B967" s="123"/>
      <c r="C967" s="123"/>
      <c r="D967" s="123"/>
      <c r="E967" s="143"/>
      <c r="F967" s="14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>
      <c r="A968" s="123"/>
      <c r="B968" s="123"/>
      <c r="C968" s="123"/>
      <c r="D968" s="123"/>
      <c r="E968" s="143"/>
      <c r="F968" s="14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>
      <c r="A969" s="123"/>
      <c r="B969" s="123"/>
      <c r="C969" s="123"/>
      <c r="D969" s="123"/>
      <c r="E969" s="143"/>
      <c r="F969" s="14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>
      <c r="A970" s="123"/>
      <c r="B970" s="123"/>
      <c r="C970" s="123"/>
      <c r="D970" s="123"/>
      <c r="E970" s="143"/>
      <c r="F970" s="14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>
      <c r="A971" s="123"/>
      <c r="B971" s="123"/>
      <c r="C971" s="123"/>
      <c r="D971" s="123"/>
      <c r="E971" s="143"/>
      <c r="F971" s="14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>
      <c r="A972" s="123"/>
      <c r="B972" s="123"/>
      <c r="C972" s="123"/>
      <c r="D972" s="123"/>
      <c r="E972" s="143"/>
      <c r="F972" s="14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>
      <c r="A973" s="123"/>
      <c r="B973" s="123"/>
      <c r="C973" s="123"/>
      <c r="D973" s="123"/>
      <c r="E973" s="143"/>
      <c r="F973" s="14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>
      <c r="A974" s="123"/>
      <c r="B974" s="123"/>
      <c r="C974" s="123"/>
      <c r="D974" s="123"/>
      <c r="E974" s="143"/>
      <c r="F974" s="14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>
      <c r="A975" s="123"/>
      <c r="B975" s="123"/>
      <c r="C975" s="123"/>
      <c r="D975" s="123"/>
      <c r="E975" s="143"/>
      <c r="F975" s="14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>
      <c r="A976" s="123"/>
      <c r="B976" s="123"/>
      <c r="C976" s="123"/>
      <c r="D976" s="123"/>
      <c r="E976" s="143"/>
      <c r="F976" s="14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>
      <c r="A977" s="123"/>
      <c r="B977" s="123"/>
      <c r="C977" s="123"/>
      <c r="D977" s="123"/>
      <c r="E977" s="143"/>
      <c r="F977" s="14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>
      <c r="A978" s="123"/>
      <c r="B978" s="123"/>
      <c r="C978" s="123"/>
      <c r="D978" s="123"/>
      <c r="E978" s="143"/>
      <c r="F978" s="14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>
      <c r="A979" s="123"/>
      <c r="B979" s="123"/>
      <c r="C979" s="123"/>
      <c r="D979" s="123"/>
      <c r="E979" s="143"/>
      <c r="F979" s="14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>
      <c r="A980" s="123"/>
      <c r="B980" s="123"/>
      <c r="C980" s="123"/>
      <c r="D980" s="123"/>
      <c r="E980" s="143"/>
      <c r="F980" s="14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>
      <c r="A981" s="123"/>
      <c r="B981" s="123"/>
      <c r="C981" s="123"/>
      <c r="D981" s="123"/>
      <c r="E981" s="143"/>
      <c r="F981" s="14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>
      <c r="A982" s="123"/>
      <c r="B982" s="123"/>
      <c r="C982" s="123"/>
      <c r="D982" s="123"/>
      <c r="E982" s="143"/>
      <c r="F982" s="14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>
      <c r="A983" s="123"/>
      <c r="B983" s="123"/>
      <c r="C983" s="123"/>
      <c r="D983" s="123"/>
      <c r="E983" s="143"/>
      <c r="F983" s="14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>
      <c r="A984" s="123"/>
      <c r="B984" s="123"/>
      <c r="C984" s="123"/>
      <c r="D984" s="123"/>
      <c r="E984" s="143"/>
      <c r="F984" s="14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>
      <c r="A985" s="123"/>
      <c r="B985" s="123"/>
      <c r="C985" s="123"/>
      <c r="D985" s="123"/>
      <c r="E985" s="143"/>
      <c r="F985" s="14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>
      <c r="A986" s="123"/>
      <c r="B986" s="123"/>
      <c r="C986" s="123"/>
      <c r="D986" s="123"/>
      <c r="E986" s="143"/>
      <c r="F986" s="14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>
      <c r="A987" s="123"/>
      <c r="B987" s="123"/>
      <c r="C987" s="123"/>
      <c r="D987" s="123"/>
      <c r="E987" s="143"/>
      <c r="F987" s="14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>
      <c r="A988" s="123"/>
      <c r="B988" s="123"/>
      <c r="C988" s="123"/>
      <c r="D988" s="123"/>
      <c r="E988" s="143"/>
      <c r="F988" s="14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>
      <c r="A989" s="123"/>
      <c r="B989" s="123"/>
      <c r="C989" s="123"/>
      <c r="D989" s="123"/>
      <c r="E989" s="143"/>
      <c r="F989" s="14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>
      <c r="A990" s="123"/>
      <c r="B990" s="123"/>
      <c r="C990" s="123"/>
      <c r="D990" s="123"/>
      <c r="E990" s="143"/>
      <c r="F990" s="14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>
      <c r="A991" s="123"/>
      <c r="B991" s="123"/>
      <c r="C991" s="123"/>
      <c r="D991" s="123"/>
      <c r="E991" s="143"/>
      <c r="F991" s="14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>
      <c r="A992" s="123"/>
      <c r="B992" s="123"/>
      <c r="C992" s="123"/>
      <c r="D992" s="123"/>
      <c r="E992" s="143"/>
      <c r="F992" s="14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>
      <c r="A993" s="123"/>
      <c r="B993" s="123"/>
      <c r="C993" s="123"/>
      <c r="D993" s="123"/>
      <c r="E993" s="143"/>
      <c r="F993" s="14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>
      <c r="A994" s="123"/>
      <c r="B994" s="123"/>
      <c r="C994" s="123"/>
      <c r="D994" s="123"/>
      <c r="E994" s="143"/>
      <c r="F994" s="14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>
      <c r="A995" s="123"/>
      <c r="B995" s="123"/>
      <c r="C995" s="123"/>
      <c r="D995" s="123"/>
      <c r="E995" s="143"/>
      <c r="F995" s="14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>
      <c r="A996" s="123"/>
      <c r="B996" s="123"/>
      <c r="C996" s="123"/>
      <c r="D996" s="123"/>
      <c r="E996" s="143"/>
      <c r="F996" s="14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>
      <c r="A997" s="123"/>
      <c r="B997" s="123"/>
      <c r="C997" s="123"/>
      <c r="D997" s="123"/>
      <c r="E997" s="143"/>
      <c r="F997" s="14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>
      <c r="A998" s="123"/>
      <c r="B998" s="123"/>
      <c r="C998" s="123"/>
      <c r="D998" s="123"/>
      <c r="E998" s="143"/>
      <c r="F998" s="14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>
      <c r="A999" s="123"/>
      <c r="B999" s="123"/>
      <c r="C999" s="123"/>
      <c r="D999" s="123"/>
      <c r="E999" s="143"/>
      <c r="F999" s="14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>
      <c r="A1000" s="123"/>
      <c r="B1000" s="123"/>
      <c r="C1000" s="123"/>
      <c r="D1000" s="123"/>
      <c r="E1000" s="143"/>
      <c r="F1000" s="14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  <row r="1001">
      <c r="A1001" s="123"/>
      <c r="B1001" s="123"/>
      <c r="C1001" s="123"/>
      <c r="D1001" s="123"/>
      <c r="E1001" s="143"/>
      <c r="F1001" s="14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</row>
    <row r="1002">
      <c r="A1002" s="123"/>
      <c r="B1002" s="123"/>
      <c r="C1002" s="123"/>
      <c r="D1002" s="123"/>
      <c r="E1002" s="143"/>
      <c r="F1002" s="143"/>
      <c r="G1002" s="123"/>
      <c r="H1002" s="123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</row>
    <row r="1003">
      <c r="A1003" s="123"/>
      <c r="B1003" s="123"/>
      <c r="C1003" s="123"/>
      <c r="D1003" s="123"/>
      <c r="E1003" s="143"/>
      <c r="F1003" s="143"/>
      <c r="G1003" s="123"/>
      <c r="H1003" s="123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</row>
    <row r="1004">
      <c r="A1004" s="123"/>
      <c r="B1004" s="123"/>
      <c r="C1004" s="123"/>
      <c r="D1004" s="123"/>
      <c r="E1004" s="143"/>
      <c r="F1004" s="143"/>
      <c r="G1004" s="123"/>
      <c r="H1004" s="123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</row>
    <row r="1005">
      <c r="A1005" s="123"/>
      <c r="B1005" s="123"/>
      <c r="C1005" s="123"/>
      <c r="D1005" s="123"/>
      <c r="E1005" s="143"/>
      <c r="F1005" s="143"/>
      <c r="G1005" s="123"/>
      <c r="H1005" s="123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</row>
    <row r="1006">
      <c r="A1006" s="123"/>
      <c r="B1006" s="123"/>
      <c r="C1006" s="123"/>
      <c r="D1006" s="123"/>
      <c r="E1006" s="143"/>
      <c r="F1006" s="143"/>
      <c r="G1006" s="123"/>
      <c r="H1006" s="123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</row>
    <row r="1007">
      <c r="A1007" s="123"/>
      <c r="B1007" s="123"/>
      <c r="C1007" s="123"/>
      <c r="D1007" s="123"/>
      <c r="E1007" s="143"/>
      <c r="F1007" s="143"/>
      <c r="G1007" s="123"/>
      <c r="H1007" s="123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</row>
    <row r="1008">
      <c r="A1008" s="123"/>
      <c r="B1008" s="123"/>
      <c r="C1008" s="123"/>
      <c r="D1008" s="123"/>
      <c r="E1008" s="143"/>
      <c r="F1008" s="143"/>
      <c r="G1008" s="123"/>
      <c r="H1008" s="123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</row>
    <row r="1009">
      <c r="A1009" s="123"/>
      <c r="B1009" s="123"/>
      <c r="C1009" s="123"/>
      <c r="D1009" s="123"/>
      <c r="E1009" s="143"/>
      <c r="F1009" s="143"/>
      <c r="G1009" s="123"/>
      <c r="H1009" s="123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</row>
    <row r="1010">
      <c r="A1010" s="123"/>
      <c r="B1010" s="123"/>
      <c r="C1010" s="123"/>
      <c r="D1010" s="123"/>
      <c r="E1010" s="143"/>
      <c r="F1010" s="143"/>
      <c r="G1010" s="123"/>
      <c r="H1010" s="123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</row>
    <row r="1011">
      <c r="A1011" s="123"/>
      <c r="B1011" s="123"/>
      <c r="C1011" s="123"/>
      <c r="D1011" s="123"/>
      <c r="E1011" s="143"/>
      <c r="F1011" s="143"/>
      <c r="G1011" s="123"/>
      <c r="H1011" s="123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</row>
    <row r="1012">
      <c r="A1012" s="123"/>
      <c r="B1012" s="123"/>
      <c r="C1012" s="123"/>
      <c r="D1012" s="123"/>
      <c r="E1012" s="143"/>
      <c r="F1012" s="143"/>
      <c r="G1012" s="123"/>
      <c r="H1012" s="123"/>
      <c r="I1012" s="123"/>
      <c r="J1012" s="123"/>
      <c r="K1012" s="123"/>
      <c r="L1012" s="123"/>
      <c r="M1012" s="123"/>
      <c r="N1012" s="123"/>
      <c r="O1012" s="123"/>
      <c r="P1012" s="123"/>
      <c r="Q1012" s="123"/>
      <c r="R1012" s="123"/>
      <c r="S1012" s="123"/>
      <c r="T1012" s="123"/>
      <c r="U1012" s="123"/>
      <c r="V1012" s="123"/>
      <c r="W1012" s="123"/>
      <c r="X1012" s="123"/>
      <c r="Y1012" s="123"/>
      <c r="Z1012" s="123"/>
    </row>
    <row r="1013">
      <c r="A1013" s="123"/>
      <c r="B1013" s="123"/>
      <c r="C1013" s="123"/>
      <c r="D1013" s="123"/>
      <c r="E1013" s="143"/>
      <c r="F1013" s="143"/>
      <c r="G1013" s="123"/>
      <c r="H1013" s="123"/>
      <c r="I1013" s="123"/>
      <c r="J1013" s="123"/>
      <c r="K1013" s="123"/>
      <c r="L1013" s="123"/>
      <c r="M1013" s="123"/>
      <c r="N1013" s="123"/>
      <c r="O1013" s="123"/>
      <c r="P1013" s="123"/>
      <c r="Q1013" s="123"/>
      <c r="R1013" s="123"/>
      <c r="S1013" s="123"/>
      <c r="T1013" s="123"/>
      <c r="U1013" s="123"/>
      <c r="V1013" s="123"/>
      <c r="W1013" s="123"/>
      <c r="X1013" s="123"/>
      <c r="Y1013" s="123"/>
      <c r="Z1013" s="123"/>
    </row>
    <row r="1014">
      <c r="A1014" s="123"/>
      <c r="B1014" s="123"/>
      <c r="C1014" s="123"/>
      <c r="D1014" s="123"/>
      <c r="E1014" s="143"/>
      <c r="F1014" s="143"/>
      <c r="G1014" s="123"/>
      <c r="H1014" s="123"/>
      <c r="I1014" s="123"/>
      <c r="J1014" s="123"/>
      <c r="K1014" s="123"/>
      <c r="L1014" s="123"/>
      <c r="M1014" s="123"/>
      <c r="N1014" s="123"/>
      <c r="O1014" s="123"/>
      <c r="P1014" s="123"/>
      <c r="Q1014" s="123"/>
      <c r="R1014" s="123"/>
      <c r="S1014" s="123"/>
      <c r="T1014" s="123"/>
      <c r="U1014" s="123"/>
      <c r="V1014" s="123"/>
      <c r="W1014" s="123"/>
      <c r="X1014" s="123"/>
      <c r="Y1014" s="123"/>
      <c r="Z1014" s="123"/>
    </row>
    <row r="1015">
      <c r="A1015" s="123"/>
      <c r="B1015" s="123"/>
      <c r="C1015" s="123"/>
      <c r="D1015" s="123"/>
      <c r="E1015" s="143"/>
      <c r="F1015" s="143"/>
      <c r="G1015" s="123"/>
      <c r="H1015" s="123"/>
      <c r="I1015" s="123"/>
      <c r="J1015" s="123"/>
      <c r="K1015" s="123"/>
      <c r="L1015" s="123"/>
      <c r="M1015" s="123"/>
      <c r="N1015" s="123"/>
      <c r="O1015" s="123"/>
      <c r="P1015" s="123"/>
      <c r="Q1015" s="123"/>
      <c r="R1015" s="123"/>
      <c r="S1015" s="123"/>
      <c r="T1015" s="123"/>
      <c r="U1015" s="123"/>
      <c r="V1015" s="123"/>
      <c r="W1015" s="123"/>
      <c r="X1015" s="123"/>
      <c r="Y1015" s="123"/>
      <c r="Z1015" s="123"/>
    </row>
    <row r="1016">
      <c r="A1016" s="123"/>
      <c r="B1016" s="123"/>
      <c r="C1016" s="123"/>
      <c r="D1016" s="123"/>
      <c r="E1016" s="143"/>
      <c r="F1016" s="143"/>
      <c r="G1016" s="123"/>
      <c r="H1016" s="123"/>
      <c r="I1016" s="123"/>
      <c r="J1016" s="123"/>
      <c r="K1016" s="123"/>
      <c r="L1016" s="123"/>
      <c r="M1016" s="123"/>
      <c r="N1016" s="123"/>
      <c r="O1016" s="123"/>
      <c r="P1016" s="123"/>
      <c r="Q1016" s="123"/>
      <c r="R1016" s="123"/>
      <c r="S1016" s="123"/>
      <c r="T1016" s="123"/>
      <c r="U1016" s="123"/>
      <c r="V1016" s="123"/>
      <c r="W1016" s="123"/>
      <c r="X1016" s="123"/>
      <c r="Y1016" s="123"/>
      <c r="Z1016" s="123"/>
    </row>
    <row r="1017">
      <c r="A1017" s="123"/>
      <c r="B1017" s="123"/>
      <c r="C1017" s="123"/>
      <c r="D1017" s="123"/>
      <c r="E1017" s="143"/>
      <c r="F1017" s="143"/>
      <c r="G1017" s="123"/>
      <c r="H1017" s="123"/>
      <c r="I1017" s="123"/>
      <c r="J1017" s="123"/>
      <c r="K1017" s="123"/>
      <c r="L1017" s="123"/>
      <c r="M1017" s="123"/>
      <c r="N1017" s="123"/>
      <c r="O1017" s="123"/>
      <c r="P1017" s="123"/>
      <c r="Q1017" s="123"/>
      <c r="R1017" s="123"/>
      <c r="S1017" s="123"/>
      <c r="T1017" s="123"/>
      <c r="U1017" s="123"/>
      <c r="V1017" s="123"/>
      <c r="W1017" s="123"/>
      <c r="X1017" s="123"/>
      <c r="Y1017" s="123"/>
      <c r="Z1017" s="123"/>
    </row>
    <row r="1018">
      <c r="A1018" s="123"/>
      <c r="B1018" s="123"/>
      <c r="C1018" s="123"/>
      <c r="D1018" s="123"/>
      <c r="E1018" s="143"/>
      <c r="F1018" s="143"/>
      <c r="G1018" s="123"/>
      <c r="H1018" s="123"/>
      <c r="I1018" s="123"/>
      <c r="J1018" s="123"/>
      <c r="K1018" s="123"/>
      <c r="L1018" s="123"/>
      <c r="M1018" s="123"/>
      <c r="N1018" s="123"/>
      <c r="O1018" s="123"/>
      <c r="P1018" s="123"/>
      <c r="Q1018" s="123"/>
      <c r="R1018" s="123"/>
      <c r="S1018" s="123"/>
      <c r="T1018" s="123"/>
      <c r="U1018" s="123"/>
      <c r="V1018" s="123"/>
      <c r="W1018" s="123"/>
      <c r="X1018" s="123"/>
      <c r="Y1018" s="123"/>
      <c r="Z1018" s="123"/>
    </row>
    <row r="1019">
      <c r="A1019" s="123"/>
      <c r="B1019" s="123"/>
      <c r="C1019" s="123"/>
      <c r="D1019" s="123"/>
      <c r="E1019" s="143"/>
      <c r="F1019" s="143"/>
      <c r="G1019" s="123"/>
      <c r="H1019" s="123"/>
      <c r="I1019" s="123"/>
      <c r="J1019" s="123"/>
      <c r="K1019" s="123"/>
      <c r="L1019" s="123"/>
      <c r="M1019" s="123"/>
      <c r="N1019" s="123"/>
      <c r="O1019" s="123"/>
      <c r="P1019" s="123"/>
      <c r="Q1019" s="123"/>
      <c r="R1019" s="123"/>
      <c r="S1019" s="123"/>
      <c r="T1019" s="123"/>
      <c r="U1019" s="123"/>
      <c r="V1019" s="123"/>
      <c r="W1019" s="123"/>
      <c r="X1019" s="123"/>
      <c r="Y1019" s="123"/>
      <c r="Z1019" s="123"/>
    </row>
    <row r="1020">
      <c r="A1020" s="123"/>
      <c r="B1020" s="123"/>
      <c r="C1020" s="123"/>
      <c r="D1020" s="123"/>
      <c r="E1020" s="143"/>
      <c r="F1020" s="143"/>
      <c r="G1020" s="123"/>
      <c r="H1020" s="123"/>
      <c r="I1020" s="123"/>
      <c r="J1020" s="123"/>
      <c r="K1020" s="123"/>
      <c r="L1020" s="123"/>
      <c r="M1020" s="123"/>
      <c r="N1020" s="123"/>
      <c r="O1020" s="123"/>
      <c r="P1020" s="123"/>
      <c r="Q1020" s="123"/>
      <c r="R1020" s="123"/>
      <c r="S1020" s="123"/>
      <c r="T1020" s="123"/>
      <c r="U1020" s="123"/>
      <c r="V1020" s="123"/>
      <c r="W1020" s="123"/>
      <c r="X1020" s="123"/>
      <c r="Y1020" s="123"/>
      <c r="Z1020" s="123"/>
    </row>
  </sheetData>
  <dataValidations>
    <dataValidation type="custom" allowBlank="1" showDropDown="1" sqref="B2:B136 L2:L136">
      <formula1>OR(NOT(ISERROR(DATEVALUE(B2))), AND(ISNUMBER(B2), LEFT(CELL("format", B2))="D"))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8.5"/>
    <col customWidth="1" min="4" max="4" width="13.63"/>
    <col customWidth="1" min="5" max="5" width="16.88"/>
    <col customWidth="1" min="6" max="6" width="23.75"/>
    <col customWidth="1" min="7" max="7" width="18.75"/>
    <col customWidth="1" min="8" max="8" width="19.25"/>
  </cols>
  <sheetData>
    <row r="1">
      <c r="A1" s="144"/>
      <c r="B1" s="144"/>
      <c r="C1" s="145"/>
      <c r="D1" s="146"/>
      <c r="E1" s="145"/>
      <c r="F1" s="147"/>
      <c r="G1" s="148"/>
      <c r="H1" s="147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</row>
    <row r="2">
      <c r="A2" s="144"/>
      <c r="B2" s="144"/>
      <c r="C2" s="145" t="s">
        <v>695</v>
      </c>
      <c r="D2" s="146">
        <v>45874.0</v>
      </c>
      <c r="E2" s="145" t="s">
        <v>696</v>
      </c>
      <c r="F2" s="147" t="s">
        <v>656</v>
      </c>
      <c r="G2" s="148" t="s">
        <v>697</v>
      </c>
      <c r="H2" s="147" t="s">
        <v>698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</row>
    <row r="3" ht="22.5" customHeight="1">
      <c r="A3" s="149" t="s">
        <v>699</v>
      </c>
      <c r="B3" s="149" t="s">
        <v>476</v>
      </c>
      <c r="C3" s="149" t="s">
        <v>1</v>
      </c>
      <c r="D3" s="149" t="s">
        <v>700</v>
      </c>
      <c r="E3" s="149" t="s">
        <v>701</v>
      </c>
      <c r="F3" s="149" t="s">
        <v>702</v>
      </c>
      <c r="G3" s="150" t="s">
        <v>703</v>
      </c>
      <c r="H3" s="149" t="s">
        <v>704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</row>
    <row r="4" ht="22.5" customHeight="1">
      <c r="A4" s="151">
        <v>1.0</v>
      </c>
      <c r="B4" s="152" t="s">
        <v>681</v>
      </c>
      <c r="C4" s="152" t="s">
        <v>705</v>
      </c>
      <c r="D4" s="153">
        <v>44285.0</v>
      </c>
      <c r="E4" s="154">
        <v>88.0</v>
      </c>
      <c r="F4" s="155" t="s">
        <v>525</v>
      </c>
      <c r="G4" s="156">
        <v>15.0</v>
      </c>
      <c r="H4" s="156">
        <v>6.0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</row>
    <row r="5">
      <c r="A5" s="144"/>
      <c r="B5" s="144"/>
      <c r="C5" s="145"/>
      <c r="D5" s="146"/>
      <c r="E5" s="145"/>
      <c r="F5" s="147"/>
      <c r="G5" s="148"/>
      <c r="H5" s="147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</row>
    <row r="6">
      <c r="A6" s="144"/>
      <c r="B6" s="144"/>
      <c r="C6" s="145" t="s">
        <v>695</v>
      </c>
      <c r="D6" s="146">
        <v>45889.0</v>
      </c>
      <c r="E6" s="145" t="s">
        <v>696</v>
      </c>
      <c r="F6" s="147" t="s">
        <v>706</v>
      </c>
      <c r="G6" s="148" t="s">
        <v>697</v>
      </c>
      <c r="H6" s="147" t="s">
        <v>583</v>
      </c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</row>
    <row r="7" ht="22.5" customHeight="1">
      <c r="A7" s="149" t="s">
        <v>699</v>
      </c>
      <c r="B7" s="149" t="s">
        <v>476</v>
      </c>
      <c r="C7" s="149" t="s">
        <v>1</v>
      </c>
      <c r="D7" s="149" t="s">
        <v>700</v>
      </c>
      <c r="E7" s="149" t="s">
        <v>701</v>
      </c>
      <c r="F7" s="149" t="s">
        <v>702</v>
      </c>
      <c r="G7" s="150" t="s">
        <v>707</v>
      </c>
      <c r="H7" s="150" t="s">
        <v>708</v>
      </c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</row>
    <row r="8" ht="22.5" customHeight="1">
      <c r="A8" s="151">
        <v>1.0</v>
      </c>
      <c r="B8" s="158" t="s">
        <v>709</v>
      </c>
      <c r="C8" s="152" t="s">
        <v>159</v>
      </c>
      <c r="D8" s="159">
        <v>45453.0</v>
      </c>
      <c r="E8" s="154">
        <v>56.0</v>
      </c>
      <c r="F8" s="155" t="s">
        <v>634</v>
      </c>
      <c r="G8" s="156">
        <v>9.0</v>
      </c>
      <c r="H8" s="156" t="s">
        <v>710</v>
      </c>
      <c r="I8" s="160"/>
      <c r="J8" s="161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</row>
    <row r="9" ht="22.5" customHeight="1">
      <c r="A9" s="154">
        <v>2.0</v>
      </c>
      <c r="B9" s="158" t="s">
        <v>17</v>
      </c>
      <c r="C9" s="152" t="s">
        <v>18</v>
      </c>
      <c r="D9" s="159">
        <v>42992.0</v>
      </c>
      <c r="E9" s="154">
        <v>17.0</v>
      </c>
      <c r="F9" s="155" t="s">
        <v>525</v>
      </c>
      <c r="G9" s="156" t="s">
        <v>710</v>
      </c>
      <c r="H9" s="156">
        <v>5.0</v>
      </c>
      <c r="I9" s="160"/>
      <c r="J9" s="161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</row>
    <row r="10" ht="22.5" customHeight="1">
      <c r="A10" s="154">
        <v>3.0</v>
      </c>
      <c r="B10" s="158" t="s">
        <v>711</v>
      </c>
      <c r="C10" s="152" t="s">
        <v>134</v>
      </c>
      <c r="D10" s="159">
        <v>45373.0</v>
      </c>
      <c r="E10" s="154">
        <v>197.0</v>
      </c>
      <c r="F10" s="155" t="s">
        <v>634</v>
      </c>
      <c r="G10" s="156" t="s">
        <v>710</v>
      </c>
      <c r="H10" s="156">
        <v>42.0</v>
      </c>
      <c r="I10" s="160"/>
      <c r="J10" s="161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</row>
    <row r="11" ht="22.5" customHeight="1">
      <c r="A11" s="151">
        <v>4.0</v>
      </c>
      <c r="B11" s="158" t="s">
        <v>117</v>
      </c>
      <c r="C11" s="152" t="s">
        <v>118</v>
      </c>
      <c r="D11" s="159">
        <v>45285.0</v>
      </c>
      <c r="E11" s="154">
        <v>48.0</v>
      </c>
      <c r="F11" s="155" t="s">
        <v>488</v>
      </c>
      <c r="G11" s="156" t="s">
        <v>710</v>
      </c>
      <c r="H11" s="156">
        <v>13.0</v>
      </c>
      <c r="I11" s="160"/>
      <c r="J11" s="161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</row>
    <row r="12" ht="22.5" customHeight="1">
      <c r="A12" s="154">
        <v>5.0</v>
      </c>
      <c r="B12" s="158" t="s">
        <v>38</v>
      </c>
      <c r="C12" s="152" t="s">
        <v>39</v>
      </c>
      <c r="D12" s="159">
        <v>44175.0</v>
      </c>
      <c r="E12" s="154">
        <v>94.0</v>
      </c>
      <c r="F12" s="155" t="s">
        <v>525</v>
      </c>
      <c r="G12" s="156">
        <v>4.0</v>
      </c>
      <c r="H12" s="156" t="s">
        <v>710</v>
      </c>
      <c r="I12" s="160"/>
      <c r="J12" s="161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</row>
    <row r="13" ht="22.5" customHeight="1">
      <c r="A13" s="154">
        <v>6.0</v>
      </c>
      <c r="B13" s="158" t="s">
        <v>169</v>
      </c>
      <c r="C13" s="152" t="s">
        <v>170</v>
      </c>
      <c r="D13" s="159">
        <v>45533.0</v>
      </c>
      <c r="E13" s="154">
        <v>22.0</v>
      </c>
      <c r="F13" s="155" t="s">
        <v>525</v>
      </c>
      <c r="G13" s="156" t="s">
        <v>710</v>
      </c>
      <c r="H13" s="156">
        <v>4.0</v>
      </c>
      <c r="I13" s="160"/>
      <c r="J13" s="161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</row>
    <row r="14" ht="22.5" customHeight="1">
      <c r="A14" s="151">
        <v>7.0</v>
      </c>
      <c r="B14" s="158" t="s">
        <v>146</v>
      </c>
      <c r="C14" s="152" t="s">
        <v>147</v>
      </c>
      <c r="D14" s="159">
        <v>45419.0</v>
      </c>
      <c r="E14" s="154">
        <v>62.0</v>
      </c>
      <c r="F14" s="155" t="s">
        <v>634</v>
      </c>
      <c r="G14" s="156">
        <v>4.0</v>
      </c>
      <c r="H14" s="162"/>
      <c r="I14" s="160"/>
      <c r="J14" s="161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</row>
    <row r="15" ht="22.5" customHeight="1">
      <c r="A15" s="154">
        <v>8.0</v>
      </c>
      <c r="B15" s="158" t="s">
        <v>103</v>
      </c>
      <c r="C15" s="152" t="s">
        <v>104</v>
      </c>
      <c r="D15" s="159">
        <v>45108.0</v>
      </c>
      <c r="E15" s="154">
        <v>32.0</v>
      </c>
      <c r="F15" s="155" t="s">
        <v>525</v>
      </c>
      <c r="G15" s="156">
        <v>2.0</v>
      </c>
      <c r="H15" s="156" t="s">
        <v>710</v>
      </c>
      <c r="I15" s="160"/>
      <c r="J15" s="161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</row>
    <row r="16" ht="22.5" customHeight="1">
      <c r="A16" s="154">
        <v>9.0</v>
      </c>
      <c r="B16" s="158" t="s">
        <v>164</v>
      </c>
      <c r="C16" s="152" t="s">
        <v>165</v>
      </c>
      <c r="D16" s="159">
        <v>45489.0</v>
      </c>
      <c r="E16" s="154">
        <v>18.0</v>
      </c>
      <c r="F16" s="155" t="s">
        <v>525</v>
      </c>
      <c r="G16" s="156">
        <v>4.0</v>
      </c>
      <c r="H16" s="156" t="s">
        <v>710</v>
      </c>
      <c r="I16" s="160"/>
      <c r="J16" s="161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</row>
    <row r="17" ht="22.5" customHeight="1">
      <c r="A17" s="151">
        <v>10.0</v>
      </c>
      <c r="B17" s="158" t="s">
        <v>139</v>
      </c>
      <c r="C17" s="158" t="s">
        <v>140</v>
      </c>
      <c r="D17" s="159">
        <v>45398.0</v>
      </c>
      <c r="E17" s="154">
        <v>8.0</v>
      </c>
      <c r="F17" s="155" t="s">
        <v>488</v>
      </c>
      <c r="G17" s="156" t="s">
        <v>710</v>
      </c>
      <c r="H17" s="156" t="s">
        <v>710</v>
      </c>
      <c r="I17" s="160"/>
      <c r="J17" s="161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</row>
    <row r="18" ht="22.5" customHeight="1">
      <c r="A18" s="163"/>
      <c r="B18" s="164"/>
      <c r="C18" s="164"/>
      <c r="D18" s="165" t="s">
        <v>712</v>
      </c>
      <c r="E18" s="166">
        <f>SUM(E8:E17)</f>
        <v>554</v>
      </c>
      <c r="F18" s="167"/>
      <c r="G18" s="168">
        <f t="shared" ref="G18:H18" si="1">SUM(G8:G17)</f>
        <v>23</v>
      </c>
      <c r="H18" s="168">
        <f t="shared" si="1"/>
        <v>64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</row>
    <row r="20">
      <c r="A20" s="144"/>
      <c r="B20" s="144"/>
      <c r="C20" s="145" t="s">
        <v>695</v>
      </c>
      <c r="D20" s="146">
        <v>45937.0</v>
      </c>
      <c r="E20" s="145" t="s">
        <v>696</v>
      </c>
      <c r="F20" s="147" t="s">
        <v>662</v>
      </c>
      <c r="G20" s="148" t="s">
        <v>697</v>
      </c>
      <c r="H20" s="147" t="s">
        <v>713</v>
      </c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</row>
    <row r="21" ht="22.5" customHeight="1">
      <c r="A21" s="149" t="s">
        <v>699</v>
      </c>
      <c r="B21" s="149" t="s">
        <v>476</v>
      </c>
      <c r="C21" s="149" t="s">
        <v>1</v>
      </c>
      <c r="D21" s="149" t="s">
        <v>700</v>
      </c>
      <c r="E21" s="149" t="s">
        <v>701</v>
      </c>
      <c r="F21" s="149" t="s">
        <v>702</v>
      </c>
      <c r="G21" s="150" t="s">
        <v>707</v>
      </c>
      <c r="H21" s="149" t="s">
        <v>704</v>
      </c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</row>
    <row r="22" ht="22.5" customHeight="1">
      <c r="A22" s="151">
        <v>1.0</v>
      </c>
      <c r="B22" s="152" t="s">
        <v>28</v>
      </c>
      <c r="C22" s="152" t="s">
        <v>29</v>
      </c>
      <c r="D22" s="153"/>
      <c r="E22" s="154">
        <v>89.0</v>
      </c>
      <c r="F22" s="155" t="s">
        <v>488</v>
      </c>
      <c r="G22" s="156">
        <v>43.0</v>
      </c>
      <c r="H22" s="156">
        <v>14.0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</row>
    <row r="23" ht="22.5" customHeight="1">
      <c r="A23" s="154">
        <v>2.0</v>
      </c>
      <c r="B23" s="152" t="s">
        <v>714</v>
      </c>
      <c r="C23" s="152" t="s">
        <v>715</v>
      </c>
      <c r="D23" s="153"/>
      <c r="E23" s="154">
        <v>77.0</v>
      </c>
      <c r="F23" s="155" t="s">
        <v>488</v>
      </c>
      <c r="G23" s="156">
        <v>31.0</v>
      </c>
      <c r="H23" s="156">
        <v>6.0</v>
      </c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</row>
    <row r="25">
      <c r="A25" s="144"/>
      <c r="B25" s="144"/>
      <c r="C25" s="145" t="s">
        <v>695</v>
      </c>
      <c r="D25" s="146">
        <v>45960.0</v>
      </c>
      <c r="E25" s="145" t="s">
        <v>696</v>
      </c>
      <c r="F25" s="147" t="s">
        <v>656</v>
      </c>
      <c r="G25" s="148" t="s">
        <v>697</v>
      </c>
      <c r="H25" s="147" t="s">
        <v>716</v>
      </c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</row>
    <row r="26" ht="22.5" customHeight="1">
      <c r="A26" s="149" t="s">
        <v>699</v>
      </c>
      <c r="B26" s="149" t="s">
        <v>476</v>
      </c>
      <c r="C26" s="149" t="s">
        <v>1</v>
      </c>
      <c r="D26" s="149" t="s">
        <v>700</v>
      </c>
      <c r="E26" s="149" t="s">
        <v>701</v>
      </c>
      <c r="F26" s="149" t="s">
        <v>702</v>
      </c>
      <c r="G26" s="150" t="s">
        <v>707</v>
      </c>
      <c r="H26" s="149" t="s">
        <v>704</v>
      </c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</row>
    <row r="27" ht="22.5" customHeight="1">
      <c r="A27" s="151">
        <v>1.0</v>
      </c>
      <c r="B27" s="152" t="s">
        <v>667</v>
      </c>
      <c r="C27" s="152" t="s">
        <v>717</v>
      </c>
      <c r="D27" s="153"/>
      <c r="E27" s="154">
        <v>23.0</v>
      </c>
      <c r="F27" s="155" t="s">
        <v>718</v>
      </c>
      <c r="G27" s="156">
        <v>10.0</v>
      </c>
      <c r="H27" s="156">
        <v>5.0</v>
      </c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</row>
    <row r="29">
      <c r="A29" s="144"/>
      <c r="B29" s="144"/>
      <c r="C29" s="145" t="s">
        <v>695</v>
      </c>
      <c r="D29" s="146">
        <v>45685.0</v>
      </c>
      <c r="E29" s="145" t="s">
        <v>696</v>
      </c>
      <c r="F29" s="147" t="s">
        <v>706</v>
      </c>
      <c r="G29" s="148" t="s">
        <v>697</v>
      </c>
      <c r="H29" s="147" t="s">
        <v>583</v>
      </c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</row>
    <row r="30" ht="22.5" customHeight="1">
      <c r="A30" s="149" t="s">
        <v>699</v>
      </c>
      <c r="B30" s="149" t="s">
        <v>476</v>
      </c>
      <c r="C30" s="149" t="s">
        <v>1</v>
      </c>
      <c r="D30" s="149" t="s">
        <v>700</v>
      </c>
      <c r="E30" s="149" t="s">
        <v>701</v>
      </c>
      <c r="F30" s="149" t="s">
        <v>702</v>
      </c>
      <c r="G30" s="150" t="s">
        <v>707</v>
      </c>
      <c r="H30" s="149" t="s">
        <v>704</v>
      </c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</row>
    <row r="31" ht="22.5" customHeight="1">
      <c r="A31" s="154">
        <v>1.0</v>
      </c>
      <c r="B31" s="158" t="s">
        <v>188</v>
      </c>
      <c r="C31" s="152" t="s">
        <v>189</v>
      </c>
      <c r="D31" s="159"/>
      <c r="E31" s="154">
        <v>151.0</v>
      </c>
      <c r="F31" s="155" t="s">
        <v>677</v>
      </c>
      <c r="G31" s="156">
        <v>3.0</v>
      </c>
      <c r="H31" s="156">
        <v>2.0</v>
      </c>
      <c r="I31" s="160"/>
      <c r="J31" s="161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</row>
    <row r="32" ht="22.5" customHeight="1">
      <c r="A32" s="154">
        <v>1.0</v>
      </c>
      <c r="B32" s="158" t="s">
        <v>188</v>
      </c>
      <c r="C32" s="152" t="s">
        <v>189</v>
      </c>
      <c r="D32" s="159"/>
      <c r="E32" s="154"/>
      <c r="F32" s="155" t="s">
        <v>674</v>
      </c>
      <c r="G32" s="156">
        <v>34.0</v>
      </c>
      <c r="H32" s="156">
        <v>14.0</v>
      </c>
      <c r="I32" s="160"/>
      <c r="J32" s="161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</row>
    <row r="33" ht="22.5" customHeight="1">
      <c r="A33" s="154">
        <v>2.0</v>
      </c>
      <c r="B33" s="158" t="s">
        <v>46</v>
      </c>
      <c r="C33" s="152" t="s">
        <v>47</v>
      </c>
      <c r="D33" s="159"/>
      <c r="E33" s="154">
        <v>28.0</v>
      </c>
      <c r="F33" s="155" t="s">
        <v>668</v>
      </c>
      <c r="G33" s="156">
        <v>1.0</v>
      </c>
      <c r="H33" s="156">
        <v>1.0</v>
      </c>
      <c r="I33" s="160"/>
      <c r="J33" s="161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</row>
    <row r="34" ht="22.5" customHeight="1">
      <c r="A34" s="154">
        <v>3.0</v>
      </c>
      <c r="B34" s="158" t="s">
        <v>55</v>
      </c>
      <c r="C34" s="152" t="s">
        <v>56</v>
      </c>
      <c r="D34" s="159"/>
      <c r="E34" s="154">
        <v>3.0</v>
      </c>
      <c r="F34" s="155" t="s">
        <v>668</v>
      </c>
      <c r="G34" s="156">
        <v>3.0</v>
      </c>
      <c r="H34" s="156">
        <v>2.0</v>
      </c>
      <c r="I34" s="160"/>
      <c r="J34" s="161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ht="22.5" customHeight="1">
      <c r="A35" s="154">
        <v>4.0</v>
      </c>
      <c r="B35" s="158" t="s">
        <v>61</v>
      </c>
      <c r="C35" s="152" t="s">
        <v>62</v>
      </c>
      <c r="D35" s="159"/>
      <c r="E35" s="154">
        <v>44.0</v>
      </c>
      <c r="F35" s="155" t="s">
        <v>674</v>
      </c>
      <c r="G35" s="156">
        <v>5.0</v>
      </c>
      <c r="H35" s="156">
        <v>2.0</v>
      </c>
      <c r="I35" s="160"/>
      <c r="J35" s="161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ht="22.5" customHeight="1">
      <c r="A36" s="154">
        <v>5.0</v>
      </c>
      <c r="B36" s="158" t="s">
        <v>103</v>
      </c>
      <c r="C36" s="152" t="s">
        <v>104</v>
      </c>
      <c r="D36" s="159"/>
      <c r="E36" s="154">
        <v>59.0</v>
      </c>
      <c r="F36" s="155" t="s">
        <v>668</v>
      </c>
      <c r="G36" s="156">
        <v>9.0</v>
      </c>
      <c r="H36" s="156">
        <v>3.0</v>
      </c>
      <c r="I36" s="160"/>
      <c r="J36" s="161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ht="22.5" customHeight="1">
      <c r="A37" s="163"/>
      <c r="B37" s="164"/>
      <c r="C37" s="164"/>
      <c r="D37" s="165" t="s">
        <v>712</v>
      </c>
      <c r="E37" s="166">
        <f>SUM(E31:E36)</f>
        <v>285</v>
      </c>
      <c r="F37" s="169"/>
      <c r="G37" s="168">
        <f t="shared" ref="G37:H37" si="2">SUM(G31:G36)</f>
        <v>55</v>
      </c>
      <c r="H37" s="168">
        <f t="shared" si="2"/>
        <v>24</v>
      </c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</row>
    <row r="39">
      <c r="A39" s="144"/>
      <c r="B39" s="144"/>
      <c r="C39" s="145" t="s">
        <v>695</v>
      </c>
      <c r="D39" s="146">
        <v>45960.0</v>
      </c>
      <c r="E39" s="145" t="s">
        <v>696</v>
      </c>
      <c r="F39" s="147" t="s">
        <v>656</v>
      </c>
      <c r="G39" s="148" t="s">
        <v>697</v>
      </c>
      <c r="H39" s="147" t="s">
        <v>716</v>
      </c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</row>
    <row r="40" ht="22.5" customHeight="1">
      <c r="A40" s="149" t="s">
        <v>699</v>
      </c>
      <c r="B40" s="149" t="s">
        <v>476</v>
      </c>
      <c r="C40" s="149" t="s">
        <v>1</v>
      </c>
      <c r="D40" s="149" t="s">
        <v>700</v>
      </c>
      <c r="E40" s="149" t="s">
        <v>701</v>
      </c>
      <c r="F40" s="149" t="s">
        <v>702</v>
      </c>
      <c r="G40" s="150" t="s">
        <v>703</v>
      </c>
      <c r="H40" s="149" t="s">
        <v>704</v>
      </c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</row>
    <row r="41" ht="22.5" customHeight="1">
      <c r="A41" s="151">
        <v>1.0</v>
      </c>
      <c r="B41" s="152" t="s">
        <v>719</v>
      </c>
      <c r="C41" s="152" t="s">
        <v>720</v>
      </c>
      <c r="D41" s="153"/>
      <c r="E41" s="154">
        <v>80.0</v>
      </c>
      <c r="F41" s="155" t="s">
        <v>721</v>
      </c>
      <c r="G41" s="156">
        <v>38.0</v>
      </c>
      <c r="H41" s="156" t="s">
        <v>722</v>
      </c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</row>
    <row r="42" ht="22.5" customHeight="1">
      <c r="A42" s="154">
        <v>1.0</v>
      </c>
      <c r="B42" s="152" t="s">
        <v>719</v>
      </c>
      <c r="C42" s="152" t="s">
        <v>720</v>
      </c>
      <c r="D42" s="153"/>
      <c r="E42" s="154">
        <v>56.0</v>
      </c>
      <c r="F42" s="155" t="s">
        <v>723</v>
      </c>
      <c r="G42" s="156">
        <v>30.0</v>
      </c>
      <c r="H42" s="156" t="s">
        <v>722</v>
      </c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</row>
    <row r="43" ht="22.5" customHeight="1">
      <c r="A43" s="163"/>
      <c r="B43" s="165"/>
      <c r="C43" s="165"/>
      <c r="D43" s="170"/>
      <c r="E43" s="166">
        <f>SUM(E41:E42)</f>
        <v>136</v>
      </c>
      <c r="F43" s="169"/>
      <c r="G43" s="171">
        <f>SUM(G41:G42)</f>
        <v>68</v>
      </c>
      <c r="H43" s="171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</row>
    <row r="45">
      <c r="A45" s="144"/>
      <c r="B45" s="144"/>
      <c r="C45" s="145" t="s">
        <v>695</v>
      </c>
      <c r="D45" s="146">
        <v>46036.0</v>
      </c>
      <c r="E45" s="145" t="s">
        <v>696</v>
      </c>
      <c r="F45" s="147" t="s">
        <v>662</v>
      </c>
      <c r="G45" s="148" t="s">
        <v>697</v>
      </c>
      <c r="H45" s="147" t="s">
        <v>37</v>
      </c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</row>
    <row r="46" ht="22.5" customHeight="1">
      <c r="A46" s="149" t="s">
        <v>699</v>
      </c>
      <c r="B46" s="149" t="s">
        <v>476</v>
      </c>
      <c r="C46" s="149" t="s">
        <v>1</v>
      </c>
      <c r="D46" s="149" t="s">
        <v>700</v>
      </c>
      <c r="E46" s="149" t="s">
        <v>701</v>
      </c>
      <c r="F46" s="149" t="s">
        <v>702</v>
      </c>
      <c r="G46" s="150" t="s">
        <v>707</v>
      </c>
      <c r="H46" s="149" t="s">
        <v>704</v>
      </c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</row>
    <row r="47" ht="22.5" customHeight="1">
      <c r="A47" s="151">
        <v>1.0</v>
      </c>
      <c r="B47" s="152" t="s">
        <v>28</v>
      </c>
      <c r="C47" s="152" t="s">
        <v>29</v>
      </c>
      <c r="D47" s="153"/>
      <c r="E47" s="154"/>
      <c r="F47" s="155" t="s">
        <v>724</v>
      </c>
      <c r="G47" s="156">
        <v>10.0</v>
      </c>
      <c r="H47" s="156">
        <v>3.0</v>
      </c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</row>
  </sheetData>
  <dataValidations>
    <dataValidation type="list" allowBlank="1" sqref="F41:F43">
      <formula1>"BITELO SS,LANDAU,KAYAK,BOBY HRO (SEX),IVECO,HAVENGER"</formula1>
    </dataValidation>
    <dataValidation type="list" allowBlank="1" sqref="F27">
      <formula1>"BITELO SS,LANDAU,KAYAK,BOBY HRO (SEX)"</formula1>
    </dataValidation>
    <dataValidation type="list" allowBlank="1" sqref="F4 F8:F18 F22:F23">
      <formula1>"BITELO SS,LANDAU,KAYAK"</formula1>
    </dataValidation>
    <dataValidation type="list" allowBlank="1" sqref="F31:F37">
      <formula1>"BITELO SS,LANDAU,KAYAK,ASTUTTO,BOBY HRO (F),BENTLEY TE BAR,RIMA FIV SUDÃO"</formula1>
    </dataValidation>
    <dataValidation type="custom" allowBlank="1" showDropDown="1" sqref="D4 D8:D18 D22:D23 D27 D31:D37 D41:D43 D47">
      <formula1>OR(NOT(ISERROR(DATEVALUE(D4))), AND(ISNUMBER(D4), LEFT(CELL("format", D4))="D"))</formula1>
    </dataValidation>
    <dataValidation type="list" allowBlank="1" sqref="F47">
      <formula1>"BITELO SS,LANDAU,KAYAK,BOBY HRO (SEX),KABUL "</formula1>
    </dataValidation>
    <dataValidation type="custom" allowBlank="1" showDropDown="1" sqref="A4 E4 A8:A18 E8:E18 A22:A23 E22:E23 A27 E27 A31:A37 E31:E37 A41:A43 E41:E43 A47 E47">
      <formula1>AND(ISNUMBER(A4),(NOT(OR(NOT(ISERROR(DATEVALUE(A4))), AND(ISNUMBER(A4), LEFT(CELL("format", A4))="D")))))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4.63"/>
    <col customWidth="1" min="3" max="3" width="24.13"/>
    <col customWidth="1" min="4" max="4" width="15.88"/>
    <col customWidth="1" min="5" max="5" width="15.75"/>
    <col customWidth="1" min="6" max="6" width="21.0"/>
    <col customWidth="1" min="7" max="8" width="12.63"/>
    <col customWidth="1" min="9" max="9" width="23.63"/>
    <col customWidth="1" min="10" max="10" width="20.5"/>
    <col customWidth="1" min="11" max="11" width="23.63"/>
    <col customWidth="1" min="12" max="12" width="24.25"/>
    <col customWidth="1" min="13" max="13" width="21.13"/>
    <col customWidth="1" min="14" max="14" width="25.5"/>
    <col customWidth="1" min="15" max="15" width="24.25"/>
  </cols>
  <sheetData>
    <row r="1">
      <c r="A1" s="172" t="s">
        <v>476</v>
      </c>
      <c r="B1" s="172" t="s">
        <v>1</v>
      </c>
      <c r="C1" s="172" t="s">
        <v>477</v>
      </c>
      <c r="D1" s="172" t="s">
        <v>725</v>
      </c>
      <c r="E1" s="172" t="s">
        <v>726</v>
      </c>
      <c r="F1" s="172" t="s">
        <v>727</v>
      </c>
      <c r="G1" s="172" t="s">
        <v>728</v>
      </c>
      <c r="H1" s="172" t="s">
        <v>729</v>
      </c>
      <c r="I1" s="172" t="s">
        <v>730</v>
      </c>
      <c r="J1" s="172" t="s">
        <v>481</v>
      </c>
      <c r="K1" s="172" t="s">
        <v>482</v>
      </c>
      <c r="L1" s="173" t="s">
        <v>483</v>
      </c>
      <c r="M1" s="172" t="s">
        <v>731</v>
      </c>
      <c r="N1" s="172" t="s">
        <v>484</v>
      </c>
      <c r="O1" s="172" t="s">
        <v>11</v>
      </c>
    </row>
    <row r="2">
      <c r="A2" s="174" t="s">
        <v>88</v>
      </c>
      <c r="B2" s="174"/>
      <c r="C2" s="174" t="s">
        <v>30</v>
      </c>
      <c r="D2" s="175"/>
      <c r="E2" s="174"/>
      <c r="F2" s="175">
        <v>45678.0</v>
      </c>
      <c r="G2" s="176"/>
      <c r="H2" s="176">
        <v>2.0</v>
      </c>
      <c r="I2" s="177">
        <v>45986.0</v>
      </c>
      <c r="J2" s="178" t="s">
        <v>488</v>
      </c>
      <c r="K2" s="174" t="s">
        <v>90</v>
      </c>
      <c r="L2" s="179" t="s">
        <v>91</v>
      </c>
      <c r="M2" s="180"/>
      <c r="N2" s="180" t="s">
        <v>732</v>
      </c>
      <c r="O2" s="181" t="s">
        <v>53</v>
      </c>
    </row>
    <row r="3">
      <c r="A3" s="178" t="s">
        <v>733</v>
      </c>
      <c r="B3" s="178"/>
      <c r="C3" s="178" t="s">
        <v>30</v>
      </c>
      <c r="D3" s="175"/>
      <c r="E3" s="178"/>
      <c r="F3" s="175">
        <v>45678.0</v>
      </c>
      <c r="G3" s="182"/>
      <c r="H3" s="182">
        <v>10.0</v>
      </c>
      <c r="I3" s="177">
        <v>45986.0</v>
      </c>
      <c r="J3" s="178" t="s">
        <v>488</v>
      </c>
      <c r="K3" s="178" t="s">
        <v>734</v>
      </c>
      <c r="L3" s="179" t="s">
        <v>735</v>
      </c>
      <c r="M3" s="180"/>
      <c r="N3" s="180" t="s">
        <v>732</v>
      </c>
      <c r="O3" s="181" t="s">
        <v>53</v>
      </c>
    </row>
    <row r="4">
      <c r="A4" s="178" t="s">
        <v>77</v>
      </c>
      <c r="B4" s="178" t="s">
        <v>78</v>
      </c>
      <c r="C4" s="178" t="s">
        <v>30</v>
      </c>
      <c r="D4" s="175"/>
      <c r="E4" s="178"/>
      <c r="F4" s="175">
        <v>45678.0</v>
      </c>
      <c r="G4" s="182"/>
      <c r="H4" s="182">
        <v>5.0</v>
      </c>
      <c r="I4" s="177">
        <v>45986.0</v>
      </c>
      <c r="J4" s="178" t="s">
        <v>488</v>
      </c>
      <c r="K4" s="183" t="s">
        <v>79</v>
      </c>
      <c r="L4" s="184" t="s">
        <v>80</v>
      </c>
      <c r="M4" s="180"/>
      <c r="N4" s="180" t="s">
        <v>732</v>
      </c>
      <c r="O4" s="181" t="s">
        <v>53</v>
      </c>
    </row>
    <row r="5">
      <c r="A5" s="178" t="s">
        <v>736</v>
      </c>
      <c r="B5" s="178"/>
      <c r="C5" s="178" t="s">
        <v>30</v>
      </c>
      <c r="D5" s="175"/>
      <c r="E5" s="178"/>
      <c r="F5" s="175">
        <v>45678.0</v>
      </c>
      <c r="G5" s="182"/>
      <c r="H5" s="182">
        <v>1.0</v>
      </c>
      <c r="I5" s="177">
        <v>45986.0</v>
      </c>
      <c r="J5" s="178" t="s">
        <v>70</v>
      </c>
      <c r="K5" s="178" t="s">
        <v>71</v>
      </c>
      <c r="L5" s="184" t="s">
        <v>72</v>
      </c>
      <c r="M5" s="180"/>
      <c r="N5" s="180" t="s">
        <v>732</v>
      </c>
      <c r="O5" s="181" t="s">
        <v>53</v>
      </c>
    </row>
    <row r="6">
      <c r="A6" s="178" t="s">
        <v>737</v>
      </c>
      <c r="B6" s="178"/>
      <c r="C6" s="178" t="s">
        <v>21</v>
      </c>
      <c r="D6" s="175"/>
      <c r="E6" s="185"/>
      <c r="F6" s="175">
        <v>45793.0</v>
      </c>
      <c r="G6" s="182"/>
      <c r="H6" s="182">
        <v>3.0</v>
      </c>
      <c r="I6" s="177">
        <v>45714.0</v>
      </c>
      <c r="J6" s="178" t="s">
        <v>488</v>
      </c>
      <c r="K6" s="178" t="s">
        <v>738</v>
      </c>
      <c r="L6" s="179" t="s">
        <v>739</v>
      </c>
      <c r="M6" s="180"/>
      <c r="N6" s="180" t="s">
        <v>740</v>
      </c>
      <c r="O6" s="181" t="s">
        <v>53</v>
      </c>
    </row>
    <row r="7">
      <c r="A7" s="178" t="s">
        <v>117</v>
      </c>
      <c r="B7" s="178" t="s">
        <v>118</v>
      </c>
      <c r="C7" s="178" t="s">
        <v>21</v>
      </c>
      <c r="D7" s="175"/>
      <c r="E7" s="185"/>
      <c r="F7" s="175">
        <v>45793.0</v>
      </c>
      <c r="G7" s="182"/>
      <c r="H7" s="182">
        <v>3.0</v>
      </c>
      <c r="I7" s="177">
        <v>45714.0</v>
      </c>
      <c r="J7" s="178" t="s">
        <v>119</v>
      </c>
      <c r="K7" s="178" t="s">
        <v>120</v>
      </c>
      <c r="L7" s="181" t="s">
        <v>122</v>
      </c>
      <c r="M7" s="180"/>
      <c r="N7" s="180" t="s">
        <v>741</v>
      </c>
      <c r="O7" s="181" t="s">
        <v>53</v>
      </c>
    </row>
    <row r="8">
      <c r="A8" s="178" t="s">
        <v>742</v>
      </c>
      <c r="B8" s="178"/>
      <c r="C8" s="178" t="s">
        <v>644</v>
      </c>
      <c r="D8" s="175"/>
      <c r="E8" s="185"/>
      <c r="F8" s="175">
        <v>45793.0</v>
      </c>
      <c r="G8" s="182"/>
      <c r="H8" s="182">
        <v>1.0</v>
      </c>
      <c r="I8" s="177">
        <v>45714.0</v>
      </c>
      <c r="J8" s="178" t="s">
        <v>743</v>
      </c>
      <c r="K8" s="178" t="s">
        <v>744</v>
      </c>
      <c r="L8" s="179" t="s">
        <v>745</v>
      </c>
      <c r="M8" s="180"/>
      <c r="N8" s="180" t="s">
        <v>746</v>
      </c>
      <c r="O8" s="181" t="s">
        <v>53</v>
      </c>
    </row>
    <row r="9">
      <c r="A9" s="183" t="s">
        <v>38</v>
      </c>
      <c r="B9" s="178"/>
      <c r="C9" s="178" t="s">
        <v>30</v>
      </c>
      <c r="D9" s="175"/>
      <c r="E9" s="185"/>
      <c r="F9" s="175">
        <v>45793.0</v>
      </c>
      <c r="G9" s="182"/>
      <c r="H9" s="182">
        <v>1.0</v>
      </c>
      <c r="I9" s="177">
        <v>45714.0</v>
      </c>
      <c r="J9" s="178" t="s">
        <v>488</v>
      </c>
      <c r="K9" s="178" t="s">
        <v>747</v>
      </c>
      <c r="L9" s="179" t="s">
        <v>42</v>
      </c>
      <c r="M9" s="180"/>
      <c r="N9" s="180" t="s">
        <v>748</v>
      </c>
      <c r="O9" s="181" t="s">
        <v>53</v>
      </c>
    </row>
    <row r="10">
      <c r="A10" s="178" t="s">
        <v>749</v>
      </c>
      <c r="B10" s="184"/>
      <c r="C10" s="184" t="s">
        <v>21</v>
      </c>
      <c r="D10" s="175"/>
      <c r="E10" s="178"/>
      <c r="F10" s="175">
        <v>45722.0</v>
      </c>
      <c r="G10" s="182"/>
      <c r="H10" s="182"/>
      <c r="I10" s="177">
        <v>46016.0</v>
      </c>
      <c r="J10" s="178" t="s">
        <v>750</v>
      </c>
      <c r="K10" s="178" t="s">
        <v>745</v>
      </c>
      <c r="L10" s="181" t="s">
        <v>751</v>
      </c>
      <c r="M10" s="180"/>
      <c r="N10" s="180" t="s">
        <v>752</v>
      </c>
      <c r="O10" s="181" t="s">
        <v>753</v>
      </c>
    </row>
    <row r="11">
      <c r="A11" s="178" t="s">
        <v>754</v>
      </c>
      <c r="B11" s="184"/>
      <c r="C11" s="184" t="s">
        <v>488</v>
      </c>
      <c r="D11" s="175"/>
      <c r="E11" s="178"/>
      <c r="F11" s="175">
        <v>45722.0</v>
      </c>
      <c r="G11" s="182"/>
      <c r="H11" s="182"/>
      <c r="I11" s="177">
        <v>46016.0</v>
      </c>
      <c r="J11" s="178" t="s">
        <v>21</v>
      </c>
      <c r="K11" s="178" t="s">
        <v>755</v>
      </c>
      <c r="L11" s="181" t="s">
        <v>745</v>
      </c>
      <c r="M11" s="180"/>
      <c r="N11" s="180" t="s">
        <v>752</v>
      </c>
      <c r="O11" s="181" t="s">
        <v>753</v>
      </c>
    </row>
    <row r="12">
      <c r="A12" s="178" t="s">
        <v>756</v>
      </c>
      <c r="B12" s="184"/>
      <c r="C12" s="184" t="s">
        <v>21</v>
      </c>
      <c r="D12" s="175"/>
      <c r="E12" s="178"/>
      <c r="F12" s="175">
        <v>45722.0</v>
      </c>
      <c r="G12" s="182"/>
      <c r="H12" s="182"/>
      <c r="I12" s="177">
        <v>46016.0</v>
      </c>
      <c r="J12" s="178" t="s">
        <v>493</v>
      </c>
      <c r="K12" s="178" t="s">
        <v>757</v>
      </c>
      <c r="L12" s="181" t="s">
        <v>59</v>
      </c>
      <c r="M12" s="180"/>
      <c r="N12" s="180" t="s">
        <v>752</v>
      </c>
      <c r="O12" s="181" t="s">
        <v>753</v>
      </c>
    </row>
    <row r="13">
      <c r="A13" s="178" t="s">
        <v>758</v>
      </c>
      <c r="B13" s="184"/>
      <c r="C13" s="184" t="s">
        <v>488</v>
      </c>
      <c r="D13" s="175"/>
      <c r="E13" s="178"/>
      <c r="F13" s="175">
        <v>45722.0</v>
      </c>
      <c r="G13" s="182"/>
      <c r="H13" s="182"/>
      <c r="I13" s="177">
        <v>46016.0</v>
      </c>
      <c r="J13" s="178" t="s">
        <v>21</v>
      </c>
      <c r="K13" s="178" t="s">
        <v>759</v>
      </c>
      <c r="L13" s="181" t="s">
        <v>745</v>
      </c>
      <c r="M13" s="180"/>
      <c r="N13" s="180" t="s">
        <v>752</v>
      </c>
      <c r="O13" s="181" t="s">
        <v>753</v>
      </c>
    </row>
    <row r="14">
      <c r="A14" s="186" t="s">
        <v>760</v>
      </c>
      <c r="B14" s="186" t="s">
        <v>761</v>
      </c>
      <c r="C14" s="187"/>
      <c r="D14" s="187"/>
      <c r="E14" s="187"/>
      <c r="F14" s="187"/>
      <c r="G14" s="187"/>
      <c r="H14" s="187"/>
      <c r="I14" s="187"/>
      <c r="J14" s="188" t="s">
        <v>30</v>
      </c>
      <c r="K14" s="186" t="s">
        <v>762</v>
      </c>
      <c r="L14" s="189" t="s">
        <v>763</v>
      </c>
      <c r="M14" s="187"/>
      <c r="N14" s="187"/>
      <c r="O14" s="187"/>
    </row>
    <row r="15">
      <c r="A15" s="174" t="s">
        <v>681</v>
      </c>
      <c r="B15" s="174" t="s">
        <v>764</v>
      </c>
      <c r="C15" s="189" t="s">
        <v>30</v>
      </c>
      <c r="D15" s="190">
        <v>45874.0</v>
      </c>
      <c r="E15" s="189">
        <v>88.0</v>
      </c>
      <c r="F15" s="191">
        <v>45961.0</v>
      </c>
      <c r="G15" s="189">
        <v>15.0</v>
      </c>
      <c r="H15" s="189">
        <v>6.0</v>
      </c>
      <c r="I15" s="187"/>
      <c r="J15" s="189" t="s">
        <v>488</v>
      </c>
      <c r="K15" s="189" t="s">
        <v>765</v>
      </c>
      <c r="L15" s="189" t="s">
        <v>137</v>
      </c>
      <c r="M15" s="189" t="s">
        <v>766</v>
      </c>
      <c r="N15" s="189" t="s">
        <v>767</v>
      </c>
      <c r="O15" s="189" t="s">
        <v>768</v>
      </c>
    </row>
    <row r="16">
      <c r="A16" s="174" t="s">
        <v>769</v>
      </c>
      <c r="B16" s="174" t="s">
        <v>770</v>
      </c>
      <c r="C16" s="187"/>
      <c r="D16" s="187"/>
      <c r="E16" s="187"/>
      <c r="F16" s="187"/>
      <c r="G16" s="187"/>
      <c r="H16" s="187"/>
      <c r="I16" s="187"/>
      <c r="J16" s="174" t="s">
        <v>30</v>
      </c>
      <c r="K16" s="189" t="s">
        <v>771</v>
      </c>
      <c r="L16" s="189" t="s">
        <v>33</v>
      </c>
      <c r="M16" s="187"/>
      <c r="N16" s="187"/>
      <c r="O16" s="187"/>
    </row>
    <row r="17">
      <c r="A17" s="192" t="s">
        <v>714</v>
      </c>
      <c r="B17" s="192" t="s">
        <v>772</v>
      </c>
      <c r="C17" s="189" t="s">
        <v>488</v>
      </c>
      <c r="D17" s="190">
        <v>45937.0</v>
      </c>
      <c r="E17" s="189">
        <v>77.0</v>
      </c>
      <c r="F17" s="193">
        <v>45938.0</v>
      </c>
      <c r="G17" s="189">
        <v>31.0</v>
      </c>
      <c r="H17" s="189">
        <v>12.0</v>
      </c>
      <c r="I17" s="194">
        <v>45863.0</v>
      </c>
      <c r="J17" s="174" t="s">
        <v>30</v>
      </c>
      <c r="K17" s="189" t="s">
        <v>773</v>
      </c>
      <c r="L17" s="189" t="s">
        <v>774</v>
      </c>
      <c r="M17" s="187"/>
      <c r="N17" s="187"/>
      <c r="O17" s="189" t="s">
        <v>775</v>
      </c>
    </row>
    <row r="18">
      <c r="A18" s="192" t="s">
        <v>667</v>
      </c>
      <c r="B18" s="192" t="s">
        <v>717</v>
      </c>
      <c r="C18" s="189" t="s">
        <v>668</v>
      </c>
      <c r="D18" s="191">
        <v>45960.0</v>
      </c>
      <c r="E18" s="189">
        <v>23.0</v>
      </c>
      <c r="F18" s="191">
        <v>45961.0</v>
      </c>
      <c r="G18" s="189">
        <v>10.0</v>
      </c>
      <c r="H18" s="189">
        <v>6.0</v>
      </c>
      <c r="I18" s="195">
        <v>45894.0</v>
      </c>
      <c r="J18" s="174" t="s">
        <v>488</v>
      </c>
      <c r="K18" s="189" t="s">
        <v>776</v>
      </c>
      <c r="L18" s="189" t="s">
        <v>777</v>
      </c>
      <c r="M18" s="189" t="s">
        <v>766</v>
      </c>
      <c r="N18" s="187"/>
      <c r="O18" s="189" t="s">
        <v>768</v>
      </c>
    </row>
    <row r="19">
      <c r="A19" s="192" t="s">
        <v>28</v>
      </c>
      <c r="B19" s="192" t="s">
        <v>29</v>
      </c>
      <c r="C19" s="189" t="s">
        <v>488</v>
      </c>
      <c r="D19" s="190">
        <v>45937.0</v>
      </c>
      <c r="E19" s="189">
        <v>89.0</v>
      </c>
      <c r="F19" s="193">
        <v>45938.0</v>
      </c>
      <c r="G19" s="189">
        <v>43.0</v>
      </c>
      <c r="H19" s="189">
        <v>16.0</v>
      </c>
      <c r="I19" s="195">
        <v>45863.0</v>
      </c>
      <c r="J19" s="174" t="s">
        <v>30</v>
      </c>
      <c r="K19" s="189" t="s">
        <v>778</v>
      </c>
      <c r="L19" s="189" t="s">
        <v>33</v>
      </c>
      <c r="M19" s="189" t="s">
        <v>662</v>
      </c>
      <c r="N19" s="187"/>
      <c r="O19" s="189" t="s">
        <v>775</v>
      </c>
    </row>
    <row r="20">
      <c r="A20" s="196"/>
      <c r="B20" s="196"/>
      <c r="C20" s="196"/>
      <c r="D20" s="197"/>
      <c r="E20" s="198"/>
      <c r="F20" s="196"/>
      <c r="G20" s="198"/>
      <c r="H20" s="198"/>
      <c r="I20" s="199"/>
      <c r="J20" s="199"/>
      <c r="K20" s="199"/>
      <c r="L20" s="200"/>
    </row>
    <row r="21">
      <c r="A21" s="201"/>
      <c r="B21" s="201"/>
      <c r="C21" s="201"/>
      <c r="D21" s="201"/>
      <c r="E21" s="202"/>
      <c r="F21" s="201"/>
      <c r="G21" s="202"/>
      <c r="H21" s="202"/>
      <c r="I21" s="199"/>
      <c r="J21" s="199"/>
      <c r="K21" s="199"/>
      <c r="L21" s="203"/>
    </row>
    <row r="22">
      <c r="A22" s="201"/>
      <c r="B22" s="201"/>
      <c r="C22" s="201"/>
      <c r="D22" s="201"/>
      <c r="E22" s="202"/>
      <c r="F22" s="201"/>
      <c r="G22" s="202"/>
      <c r="H22" s="202"/>
      <c r="I22" s="199"/>
      <c r="J22" s="199"/>
      <c r="K22" s="199"/>
      <c r="L22" s="200"/>
    </row>
    <row r="23">
      <c r="A23" s="204"/>
      <c r="B23" s="204"/>
      <c r="C23" s="204"/>
      <c r="E23" s="205"/>
      <c r="G23" s="205"/>
      <c r="H23" s="205"/>
      <c r="I23" s="203"/>
      <c r="J23" s="200"/>
      <c r="K23" s="200"/>
      <c r="L23" s="200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4" max="4" width="23.63"/>
    <col customWidth="1" min="5" max="5" width="18.5"/>
  </cols>
  <sheetData>
    <row r="1">
      <c r="A1" s="201" t="s">
        <v>476</v>
      </c>
      <c r="B1" s="201" t="s">
        <v>1</v>
      </c>
      <c r="C1" s="206" t="s">
        <v>4</v>
      </c>
      <c r="D1" s="206" t="s">
        <v>5</v>
      </c>
      <c r="E1" s="206" t="s">
        <v>779</v>
      </c>
      <c r="F1" s="207" t="s">
        <v>780</v>
      </c>
      <c r="G1" s="207" t="s">
        <v>781</v>
      </c>
      <c r="H1" s="207" t="s">
        <v>782</v>
      </c>
      <c r="I1" s="207" t="s">
        <v>783</v>
      </c>
      <c r="J1" s="208" t="s">
        <v>784</v>
      </c>
      <c r="K1" s="208" t="s">
        <v>785</v>
      </c>
      <c r="L1" s="208" t="s">
        <v>786</v>
      </c>
      <c r="M1" s="207" t="s">
        <v>787</v>
      </c>
      <c r="N1" s="207" t="s">
        <v>788</v>
      </c>
      <c r="O1" s="207" t="s">
        <v>789</v>
      </c>
      <c r="P1" s="207" t="s">
        <v>790</v>
      </c>
      <c r="Q1" s="207" t="s">
        <v>791</v>
      </c>
      <c r="R1" s="207" t="s">
        <v>479</v>
      </c>
      <c r="S1" s="209" t="s">
        <v>792</v>
      </c>
    </row>
    <row r="2">
      <c r="A2" s="174" t="s">
        <v>681</v>
      </c>
      <c r="B2" s="174" t="s">
        <v>764</v>
      </c>
      <c r="C2" s="189" t="s">
        <v>488</v>
      </c>
      <c r="D2" s="189" t="s">
        <v>765</v>
      </c>
      <c r="E2" s="189" t="s">
        <v>30</v>
      </c>
      <c r="F2" s="190">
        <v>45874.0</v>
      </c>
      <c r="G2" s="191">
        <v>45961.0</v>
      </c>
      <c r="H2" s="189">
        <v>88.0</v>
      </c>
      <c r="I2" s="189">
        <v>15.0</v>
      </c>
      <c r="J2" s="210">
        <v>5.0</v>
      </c>
      <c r="K2" s="210">
        <v>1.0</v>
      </c>
      <c r="L2" s="211">
        <f t="shared" ref="L2:L4" si="1">K2+J2</f>
        <v>6</v>
      </c>
      <c r="M2" s="195">
        <v>45894.0</v>
      </c>
      <c r="N2" s="212">
        <v>1800.0</v>
      </c>
      <c r="O2" s="212">
        <f t="shared" ref="O2:O4" si="2">N2*30</f>
        <v>54000</v>
      </c>
      <c r="P2" s="212">
        <v>500.0</v>
      </c>
      <c r="Q2" s="212">
        <v>2250.0</v>
      </c>
      <c r="R2" s="212">
        <f>L2*7032.3</f>
        <v>42193.8</v>
      </c>
      <c r="S2" s="213">
        <f t="shared" ref="S2:S3" si="3">(O2+P2+Q2+R2)/6</f>
        <v>16490.63333</v>
      </c>
    </row>
    <row r="3">
      <c r="A3" s="192" t="s">
        <v>714</v>
      </c>
      <c r="B3" s="192" t="s">
        <v>772</v>
      </c>
      <c r="C3" s="174" t="s">
        <v>30</v>
      </c>
      <c r="D3" s="189" t="s">
        <v>773</v>
      </c>
      <c r="E3" s="189" t="s">
        <v>488</v>
      </c>
      <c r="F3" s="190">
        <v>45937.0</v>
      </c>
      <c r="G3" s="193">
        <v>45938.0</v>
      </c>
      <c r="H3" s="189">
        <v>77.0</v>
      </c>
      <c r="I3" s="189">
        <v>31.0</v>
      </c>
      <c r="J3" s="210">
        <v>1.0</v>
      </c>
      <c r="K3" s="210">
        <v>5.0</v>
      </c>
      <c r="L3" s="211">
        <f t="shared" si="1"/>
        <v>6</v>
      </c>
      <c r="M3" s="194">
        <v>45863.0</v>
      </c>
      <c r="N3" s="212">
        <v>3750.0</v>
      </c>
      <c r="O3" s="212">
        <f t="shared" si="2"/>
        <v>112500</v>
      </c>
      <c r="P3" s="214"/>
      <c r="Q3" s="214"/>
      <c r="R3" s="212">
        <v>44472.46</v>
      </c>
      <c r="S3" s="213">
        <f t="shared" si="3"/>
        <v>26162.07667</v>
      </c>
    </row>
    <row r="4">
      <c r="A4" s="192" t="s">
        <v>667</v>
      </c>
      <c r="B4" s="192" t="s">
        <v>717</v>
      </c>
      <c r="C4" s="174" t="s">
        <v>488</v>
      </c>
      <c r="D4" s="189" t="s">
        <v>776</v>
      </c>
      <c r="E4" s="189" t="s">
        <v>668</v>
      </c>
      <c r="F4" s="191">
        <v>45960.0</v>
      </c>
      <c r="G4" s="191">
        <v>45961.0</v>
      </c>
      <c r="H4" s="189">
        <v>23.0</v>
      </c>
      <c r="I4" s="189">
        <v>10.0</v>
      </c>
      <c r="J4" s="210">
        <v>5.0</v>
      </c>
      <c r="K4" s="210">
        <v>0.0</v>
      </c>
      <c r="L4" s="211">
        <f t="shared" si="1"/>
        <v>5</v>
      </c>
      <c r="M4" s="195">
        <v>45894.0</v>
      </c>
      <c r="N4" s="212">
        <v>3000.0</v>
      </c>
      <c r="O4" s="212">
        <f t="shared" si="2"/>
        <v>90000</v>
      </c>
      <c r="P4" s="212">
        <v>700.0</v>
      </c>
      <c r="Q4" s="212"/>
      <c r="R4" s="212">
        <f>5*7032.3</f>
        <v>35161.5</v>
      </c>
      <c r="S4" s="213">
        <f>(O4+P4+Q4+R4)/5</f>
        <v>25172.3</v>
      </c>
    </row>
    <row r="5">
      <c r="A5" s="192"/>
      <c r="B5" s="192"/>
      <c r="C5" s="174"/>
      <c r="D5" s="189"/>
      <c r="E5" s="189"/>
      <c r="F5" s="190"/>
      <c r="G5" s="193"/>
      <c r="H5" s="189"/>
      <c r="I5" s="189"/>
      <c r="J5" s="210"/>
      <c r="K5" s="215"/>
      <c r="L5" s="211"/>
      <c r="M5" s="195"/>
      <c r="N5" s="212"/>
      <c r="O5" s="212"/>
      <c r="P5" s="212"/>
      <c r="Q5" s="214"/>
      <c r="R5" s="212"/>
      <c r="S5" s="216"/>
    </row>
    <row r="6">
      <c r="J6" s="217"/>
      <c r="K6" s="217"/>
      <c r="L6" s="217"/>
    </row>
    <row r="7">
      <c r="J7" s="217"/>
      <c r="K7" s="217"/>
      <c r="L7" s="217"/>
    </row>
    <row r="8">
      <c r="J8" s="217"/>
      <c r="K8" s="217"/>
      <c r="L8" s="217"/>
    </row>
    <row r="9">
      <c r="J9" s="217"/>
      <c r="K9" s="217"/>
      <c r="L9" s="217"/>
    </row>
    <row r="10">
      <c r="J10" s="217"/>
      <c r="K10" s="217"/>
      <c r="L10" s="217"/>
    </row>
    <row r="11">
      <c r="J11" s="217"/>
      <c r="K11" s="217"/>
      <c r="L11" s="217"/>
    </row>
    <row r="12">
      <c r="J12" s="217"/>
      <c r="K12" s="217"/>
      <c r="L12" s="217"/>
    </row>
    <row r="13">
      <c r="J13" s="217"/>
      <c r="K13" s="217"/>
      <c r="L13" s="217"/>
    </row>
    <row r="14">
      <c r="J14" s="217"/>
      <c r="K14" s="217"/>
      <c r="L14" s="217"/>
    </row>
    <row r="15">
      <c r="J15" s="217"/>
      <c r="K15" s="217"/>
      <c r="L15" s="217"/>
    </row>
    <row r="16">
      <c r="J16" s="217"/>
      <c r="K16" s="217"/>
      <c r="L16" s="217"/>
    </row>
    <row r="17">
      <c r="J17" s="217"/>
      <c r="K17" s="217"/>
      <c r="L17" s="217"/>
    </row>
    <row r="18">
      <c r="J18" s="217"/>
      <c r="K18" s="217"/>
      <c r="L18" s="217"/>
    </row>
    <row r="19">
      <c r="J19" s="217"/>
      <c r="K19" s="217"/>
      <c r="L19" s="217"/>
    </row>
    <row r="20">
      <c r="J20" s="217"/>
      <c r="K20" s="217"/>
      <c r="L20" s="217"/>
    </row>
    <row r="21">
      <c r="J21" s="217"/>
      <c r="K21" s="217"/>
      <c r="L21" s="217"/>
    </row>
    <row r="22">
      <c r="J22" s="217"/>
      <c r="K22" s="217"/>
      <c r="L22" s="217"/>
    </row>
    <row r="23">
      <c r="J23" s="217"/>
      <c r="K23" s="217"/>
      <c r="L23" s="217"/>
    </row>
    <row r="24">
      <c r="J24" s="217"/>
      <c r="K24" s="217"/>
      <c r="L24" s="217"/>
    </row>
    <row r="25">
      <c r="J25" s="217"/>
      <c r="K25" s="217"/>
      <c r="L25" s="217"/>
    </row>
    <row r="26">
      <c r="J26" s="217"/>
      <c r="K26" s="217"/>
      <c r="L26" s="217"/>
    </row>
    <row r="27">
      <c r="J27" s="217"/>
      <c r="K27" s="217"/>
      <c r="L27" s="217"/>
    </row>
    <row r="28">
      <c r="J28" s="217"/>
      <c r="K28" s="217"/>
      <c r="L28" s="217"/>
    </row>
    <row r="29">
      <c r="J29" s="217"/>
      <c r="K29" s="217"/>
      <c r="L29" s="217"/>
    </row>
    <row r="30">
      <c r="J30" s="217"/>
      <c r="K30" s="217"/>
      <c r="L30" s="217"/>
    </row>
    <row r="31">
      <c r="J31" s="217"/>
      <c r="K31" s="217"/>
      <c r="L31" s="217"/>
    </row>
    <row r="32">
      <c r="J32" s="217"/>
      <c r="K32" s="217"/>
      <c r="L32" s="217"/>
    </row>
    <row r="33">
      <c r="J33" s="217"/>
      <c r="K33" s="217"/>
      <c r="L33" s="217"/>
    </row>
    <row r="34">
      <c r="J34" s="217"/>
      <c r="K34" s="217"/>
      <c r="L34" s="217"/>
    </row>
    <row r="35">
      <c r="J35" s="217"/>
      <c r="K35" s="217"/>
      <c r="L35" s="217"/>
    </row>
    <row r="36">
      <c r="J36" s="217"/>
      <c r="K36" s="217"/>
      <c r="L36" s="217"/>
    </row>
    <row r="37">
      <c r="J37" s="217"/>
      <c r="K37" s="217"/>
      <c r="L37" s="217"/>
    </row>
    <row r="38">
      <c r="J38" s="217"/>
      <c r="K38" s="217"/>
      <c r="L38" s="217"/>
    </row>
    <row r="39">
      <c r="J39" s="217"/>
      <c r="K39" s="217"/>
      <c r="L39" s="217"/>
    </row>
    <row r="40">
      <c r="J40" s="217"/>
      <c r="K40" s="217"/>
      <c r="L40" s="217"/>
    </row>
    <row r="41">
      <c r="J41" s="217"/>
      <c r="K41" s="217"/>
      <c r="L41" s="217"/>
    </row>
    <row r="42">
      <c r="J42" s="217"/>
      <c r="K42" s="217"/>
      <c r="L42" s="217"/>
    </row>
    <row r="43">
      <c r="J43" s="217"/>
      <c r="K43" s="217"/>
      <c r="L43" s="217"/>
    </row>
    <row r="44">
      <c r="J44" s="217"/>
      <c r="K44" s="217"/>
      <c r="L44" s="217"/>
    </row>
    <row r="45">
      <c r="J45" s="217"/>
      <c r="K45" s="217"/>
      <c r="L45" s="217"/>
    </row>
    <row r="46">
      <c r="J46" s="217"/>
      <c r="K46" s="217"/>
      <c r="L46" s="217"/>
    </row>
    <row r="47">
      <c r="J47" s="217"/>
      <c r="K47" s="217"/>
      <c r="L47" s="217"/>
    </row>
    <row r="48">
      <c r="J48" s="217"/>
      <c r="K48" s="217"/>
      <c r="L48" s="217"/>
    </row>
    <row r="49">
      <c r="J49" s="217"/>
      <c r="K49" s="217"/>
      <c r="L49" s="217"/>
    </row>
    <row r="50">
      <c r="J50" s="217"/>
      <c r="K50" s="217"/>
      <c r="L50" s="217"/>
    </row>
    <row r="51">
      <c r="J51" s="217"/>
      <c r="K51" s="217"/>
      <c r="L51" s="217"/>
    </row>
    <row r="52">
      <c r="J52" s="217"/>
      <c r="K52" s="217"/>
      <c r="L52" s="217"/>
    </row>
    <row r="53">
      <c r="J53" s="217"/>
      <c r="K53" s="217"/>
      <c r="L53" s="217"/>
    </row>
    <row r="54">
      <c r="J54" s="217"/>
      <c r="K54" s="217"/>
      <c r="L54" s="217"/>
    </row>
    <row r="55">
      <c r="J55" s="217"/>
      <c r="K55" s="217"/>
      <c r="L55" s="217"/>
    </row>
    <row r="56">
      <c r="J56" s="217"/>
      <c r="K56" s="217"/>
      <c r="L56" s="217"/>
    </row>
    <row r="57">
      <c r="J57" s="217"/>
      <c r="K57" s="217"/>
      <c r="L57" s="217"/>
    </row>
    <row r="58">
      <c r="J58" s="217"/>
      <c r="K58" s="217"/>
      <c r="L58" s="217"/>
    </row>
    <row r="59">
      <c r="J59" s="217"/>
      <c r="K59" s="217"/>
      <c r="L59" s="217"/>
    </row>
    <row r="60">
      <c r="J60" s="217"/>
      <c r="K60" s="217"/>
      <c r="L60" s="217"/>
    </row>
    <row r="61">
      <c r="J61" s="217"/>
      <c r="K61" s="217"/>
      <c r="L61" s="217"/>
    </row>
    <row r="62">
      <c r="J62" s="217"/>
      <c r="K62" s="217"/>
      <c r="L62" s="217"/>
    </row>
    <row r="63">
      <c r="J63" s="217"/>
      <c r="K63" s="217"/>
      <c r="L63" s="217"/>
    </row>
    <row r="64">
      <c r="J64" s="217"/>
      <c r="K64" s="217"/>
      <c r="L64" s="217"/>
    </row>
    <row r="65">
      <c r="J65" s="217"/>
      <c r="K65" s="217"/>
      <c r="L65" s="217"/>
    </row>
    <row r="66">
      <c r="J66" s="217"/>
      <c r="K66" s="217"/>
      <c r="L66" s="217"/>
    </row>
    <row r="67">
      <c r="J67" s="217"/>
      <c r="K67" s="217"/>
      <c r="L67" s="217"/>
    </row>
    <row r="68">
      <c r="J68" s="217"/>
      <c r="K68" s="217"/>
      <c r="L68" s="217"/>
    </row>
    <row r="69">
      <c r="J69" s="217"/>
      <c r="K69" s="217"/>
      <c r="L69" s="217"/>
    </row>
    <row r="70">
      <c r="J70" s="217"/>
      <c r="K70" s="217"/>
      <c r="L70" s="217"/>
    </row>
    <row r="71">
      <c r="J71" s="217"/>
      <c r="K71" s="217"/>
      <c r="L71" s="217"/>
    </row>
    <row r="72">
      <c r="J72" s="217"/>
      <c r="K72" s="217"/>
      <c r="L72" s="217"/>
    </row>
    <row r="73">
      <c r="J73" s="217"/>
      <c r="K73" s="217"/>
      <c r="L73" s="217"/>
    </row>
    <row r="74">
      <c r="J74" s="217"/>
      <c r="K74" s="217"/>
      <c r="L74" s="217"/>
    </row>
    <row r="75">
      <c r="J75" s="217"/>
      <c r="K75" s="217"/>
      <c r="L75" s="217"/>
    </row>
    <row r="76">
      <c r="J76" s="217"/>
      <c r="K76" s="217"/>
      <c r="L76" s="217"/>
    </row>
    <row r="77">
      <c r="J77" s="217"/>
      <c r="K77" s="217"/>
      <c r="L77" s="217"/>
    </row>
    <row r="78">
      <c r="J78" s="217"/>
      <c r="K78" s="217"/>
      <c r="L78" s="217"/>
    </row>
    <row r="79">
      <c r="J79" s="217"/>
      <c r="K79" s="217"/>
      <c r="L79" s="217"/>
    </row>
    <row r="80">
      <c r="J80" s="217"/>
      <c r="K80" s="217"/>
      <c r="L80" s="217"/>
    </row>
    <row r="81">
      <c r="J81" s="217"/>
      <c r="K81" s="217"/>
      <c r="L81" s="217"/>
    </row>
    <row r="82">
      <c r="J82" s="217"/>
      <c r="K82" s="217"/>
      <c r="L82" s="217"/>
    </row>
    <row r="83">
      <c r="J83" s="217"/>
      <c r="K83" s="217"/>
      <c r="L83" s="217"/>
    </row>
    <row r="84">
      <c r="J84" s="217"/>
      <c r="K84" s="217"/>
      <c r="L84" s="217"/>
    </row>
    <row r="85">
      <c r="J85" s="217"/>
      <c r="K85" s="217"/>
      <c r="L85" s="217"/>
    </row>
    <row r="86">
      <c r="J86" s="217"/>
      <c r="K86" s="217"/>
      <c r="L86" s="217"/>
    </row>
    <row r="87">
      <c r="J87" s="217"/>
      <c r="K87" s="217"/>
      <c r="L87" s="217"/>
    </row>
    <row r="88">
      <c r="J88" s="217"/>
      <c r="K88" s="217"/>
      <c r="L88" s="217"/>
    </row>
    <row r="89">
      <c r="J89" s="217"/>
      <c r="K89" s="217"/>
      <c r="L89" s="217"/>
    </row>
    <row r="90">
      <c r="J90" s="217"/>
      <c r="K90" s="217"/>
      <c r="L90" s="217"/>
    </row>
    <row r="91">
      <c r="J91" s="217"/>
      <c r="K91" s="217"/>
      <c r="L91" s="217"/>
    </row>
    <row r="92">
      <c r="J92" s="217"/>
      <c r="K92" s="217"/>
      <c r="L92" s="217"/>
    </row>
    <row r="93">
      <c r="J93" s="217"/>
      <c r="K93" s="217"/>
      <c r="L93" s="217"/>
    </row>
    <row r="94">
      <c r="J94" s="217"/>
      <c r="K94" s="217"/>
      <c r="L94" s="217"/>
    </row>
    <row r="95">
      <c r="J95" s="217"/>
      <c r="K95" s="217"/>
      <c r="L95" s="217"/>
    </row>
    <row r="96">
      <c r="J96" s="217"/>
      <c r="K96" s="217"/>
      <c r="L96" s="217"/>
    </row>
    <row r="97">
      <c r="J97" s="217"/>
      <c r="K97" s="217"/>
      <c r="L97" s="217"/>
    </row>
    <row r="98">
      <c r="J98" s="217"/>
      <c r="K98" s="217"/>
      <c r="L98" s="217"/>
    </row>
    <row r="99">
      <c r="J99" s="217"/>
      <c r="K99" s="217"/>
      <c r="L99" s="217"/>
    </row>
    <row r="100">
      <c r="J100" s="217"/>
      <c r="K100" s="217"/>
      <c r="L100" s="217"/>
    </row>
    <row r="101">
      <c r="J101" s="217"/>
      <c r="K101" s="217"/>
      <c r="L101" s="217"/>
    </row>
    <row r="102">
      <c r="J102" s="217"/>
      <c r="K102" s="217"/>
      <c r="L102" s="217"/>
    </row>
    <row r="103">
      <c r="J103" s="217"/>
      <c r="K103" s="217"/>
      <c r="L103" s="217"/>
    </row>
    <row r="104">
      <c r="J104" s="217"/>
      <c r="K104" s="217"/>
      <c r="L104" s="217"/>
    </row>
    <row r="105">
      <c r="J105" s="217"/>
      <c r="K105" s="217"/>
      <c r="L105" s="217"/>
    </row>
    <row r="106">
      <c r="J106" s="217"/>
      <c r="K106" s="217"/>
      <c r="L106" s="217"/>
    </row>
    <row r="107">
      <c r="J107" s="217"/>
      <c r="K107" s="217"/>
      <c r="L107" s="217"/>
    </row>
    <row r="108">
      <c r="J108" s="217"/>
      <c r="K108" s="217"/>
      <c r="L108" s="217"/>
    </row>
    <row r="109">
      <c r="J109" s="217"/>
      <c r="K109" s="217"/>
      <c r="L109" s="217"/>
    </row>
    <row r="110">
      <c r="J110" s="217"/>
      <c r="K110" s="217"/>
      <c r="L110" s="217"/>
    </row>
    <row r="111">
      <c r="J111" s="217"/>
      <c r="K111" s="217"/>
      <c r="L111" s="217"/>
    </row>
    <row r="112">
      <c r="J112" s="217"/>
      <c r="K112" s="217"/>
      <c r="L112" s="217"/>
    </row>
    <row r="113">
      <c r="J113" s="217"/>
      <c r="K113" s="217"/>
      <c r="L113" s="217"/>
    </row>
    <row r="114">
      <c r="J114" s="217"/>
      <c r="K114" s="217"/>
      <c r="L114" s="217"/>
    </row>
    <row r="115">
      <c r="J115" s="217"/>
      <c r="K115" s="217"/>
      <c r="L115" s="217"/>
    </row>
    <row r="116">
      <c r="J116" s="217"/>
      <c r="K116" s="217"/>
      <c r="L116" s="217"/>
    </row>
    <row r="117">
      <c r="J117" s="217"/>
      <c r="K117" s="217"/>
      <c r="L117" s="217"/>
    </row>
    <row r="118">
      <c r="J118" s="217"/>
      <c r="K118" s="217"/>
      <c r="L118" s="217"/>
    </row>
    <row r="119">
      <c r="J119" s="217"/>
      <c r="K119" s="217"/>
      <c r="L119" s="217"/>
    </row>
    <row r="120">
      <c r="J120" s="217"/>
      <c r="K120" s="217"/>
      <c r="L120" s="217"/>
    </row>
    <row r="121">
      <c r="J121" s="217"/>
      <c r="K121" s="217"/>
      <c r="L121" s="217"/>
    </row>
    <row r="122">
      <c r="J122" s="217"/>
      <c r="K122" s="217"/>
      <c r="L122" s="217"/>
    </row>
    <row r="123">
      <c r="J123" s="217"/>
      <c r="K123" s="217"/>
      <c r="L123" s="217"/>
    </row>
    <row r="124">
      <c r="J124" s="217"/>
      <c r="K124" s="217"/>
      <c r="L124" s="217"/>
    </row>
    <row r="125">
      <c r="J125" s="217"/>
      <c r="K125" s="217"/>
      <c r="L125" s="217"/>
    </row>
    <row r="126">
      <c r="J126" s="217"/>
      <c r="K126" s="217"/>
      <c r="L126" s="217"/>
    </row>
    <row r="127">
      <c r="J127" s="217"/>
      <c r="K127" s="217"/>
      <c r="L127" s="217"/>
    </row>
    <row r="128">
      <c r="J128" s="217"/>
      <c r="K128" s="217"/>
      <c r="L128" s="217"/>
    </row>
    <row r="129">
      <c r="J129" s="217"/>
      <c r="K129" s="217"/>
      <c r="L129" s="217"/>
    </row>
    <row r="130">
      <c r="J130" s="217"/>
      <c r="K130" s="217"/>
      <c r="L130" s="217"/>
    </row>
    <row r="131">
      <c r="J131" s="217"/>
      <c r="K131" s="217"/>
      <c r="L131" s="217"/>
    </row>
    <row r="132">
      <c r="J132" s="217"/>
      <c r="K132" s="217"/>
      <c r="L132" s="217"/>
    </row>
    <row r="133">
      <c r="J133" s="217"/>
      <c r="K133" s="217"/>
      <c r="L133" s="217"/>
    </row>
    <row r="134">
      <c r="J134" s="217"/>
      <c r="K134" s="217"/>
      <c r="L134" s="217"/>
    </row>
    <row r="135">
      <c r="J135" s="217"/>
      <c r="K135" s="217"/>
      <c r="L135" s="217"/>
    </row>
    <row r="136">
      <c r="J136" s="217"/>
      <c r="K136" s="217"/>
      <c r="L136" s="217"/>
    </row>
    <row r="137">
      <c r="J137" s="217"/>
      <c r="K137" s="217"/>
      <c r="L137" s="217"/>
    </row>
    <row r="138">
      <c r="J138" s="217"/>
      <c r="K138" s="217"/>
      <c r="L138" s="217"/>
    </row>
    <row r="139">
      <c r="J139" s="217"/>
      <c r="K139" s="217"/>
      <c r="L139" s="217"/>
    </row>
    <row r="140">
      <c r="J140" s="217"/>
      <c r="K140" s="217"/>
      <c r="L140" s="217"/>
    </row>
    <row r="141">
      <c r="J141" s="217"/>
      <c r="K141" s="217"/>
      <c r="L141" s="217"/>
    </row>
    <row r="142">
      <c r="J142" s="217"/>
      <c r="K142" s="217"/>
      <c r="L142" s="217"/>
    </row>
    <row r="143">
      <c r="J143" s="217"/>
      <c r="K143" s="217"/>
      <c r="L143" s="217"/>
    </row>
    <row r="144">
      <c r="J144" s="217"/>
      <c r="K144" s="217"/>
      <c r="L144" s="217"/>
    </row>
    <row r="145">
      <c r="J145" s="217"/>
      <c r="K145" s="217"/>
      <c r="L145" s="217"/>
    </row>
    <row r="146">
      <c r="J146" s="217"/>
      <c r="K146" s="217"/>
      <c r="L146" s="217"/>
    </row>
    <row r="147">
      <c r="J147" s="217"/>
      <c r="K147" s="217"/>
      <c r="L147" s="217"/>
    </row>
    <row r="148">
      <c r="J148" s="217"/>
      <c r="K148" s="217"/>
      <c r="L148" s="217"/>
    </row>
    <row r="149">
      <c r="J149" s="217"/>
      <c r="K149" s="217"/>
      <c r="L149" s="217"/>
    </row>
    <row r="150">
      <c r="J150" s="217"/>
      <c r="K150" s="217"/>
      <c r="L150" s="217"/>
    </row>
    <row r="151">
      <c r="J151" s="217"/>
      <c r="K151" s="217"/>
      <c r="L151" s="217"/>
    </row>
    <row r="152">
      <c r="J152" s="217"/>
      <c r="K152" s="217"/>
      <c r="L152" s="217"/>
    </row>
    <row r="153">
      <c r="J153" s="217"/>
      <c r="K153" s="217"/>
      <c r="L153" s="217"/>
    </row>
    <row r="154">
      <c r="J154" s="217"/>
      <c r="K154" s="217"/>
      <c r="L154" s="217"/>
    </row>
    <row r="155">
      <c r="J155" s="217"/>
      <c r="K155" s="217"/>
      <c r="L155" s="217"/>
    </row>
    <row r="156">
      <c r="J156" s="217"/>
      <c r="K156" s="217"/>
      <c r="L156" s="217"/>
    </row>
    <row r="157">
      <c r="J157" s="217"/>
      <c r="K157" s="217"/>
      <c r="L157" s="217"/>
    </row>
    <row r="158">
      <c r="J158" s="217"/>
      <c r="K158" s="217"/>
      <c r="L158" s="217"/>
    </row>
    <row r="159">
      <c r="J159" s="217"/>
      <c r="K159" s="217"/>
      <c r="L159" s="217"/>
    </row>
    <row r="160">
      <c r="J160" s="217"/>
      <c r="K160" s="217"/>
      <c r="L160" s="217"/>
    </row>
    <row r="161">
      <c r="J161" s="217"/>
      <c r="K161" s="217"/>
      <c r="L161" s="217"/>
    </row>
    <row r="162">
      <c r="J162" s="217"/>
      <c r="K162" s="217"/>
      <c r="L162" s="217"/>
    </row>
    <row r="163">
      <c r="J163" s="217"/>
      <c r="K163" s="217"/>
      <c r="L163" s="217"/>
    </row>
    <row r="164">
      <c r="J164" s="217"/>
      <c r="K164" s="217"/>
      <c r="L164" s="217"/>
    </row>
    <row r="165">
      <c r="J165" s="217"/>
      <c r="K165" s="217"/>
      <c r="L165" s="217"/>
    </row>
    <row r="166">
      <c r="J166" s="217"/>
      <c r="K166" s="217"/>
      <c r="L166" s="217"/>
    </row>
    <row r="167">
      <c r="J167" s="217"/>
      <c r="K167" s="217"/>
      <c r="L167" s="217"/>
    </row>
    <row r="168">
      <c r="J168" s="217"/>
      <c r="K168" s="217"/>
      <c r="L168" s="217"/>
    </row>
    <row r="169">
      <c r="J169" s="217"/>
      <c r="K169" s="217"/>
      <c r="L169" s="217"/>
    </row>
    <row r="170">
      <c r="J170" s="217"/>
      <c r="K170" s="217"/>
      <c r="L170" s="217"/>
    </row>
    <row r="171">
      <c r="J171" s="217"/>
      <c r="K171" s="217"/>
      <c r="L171" s="217"/>
    </row>
    <row r="172">
      <c r="J172" s="217"/>
      <c r="K172" s="217"/>
      <c r="L172" s="217"/>
    </row>
    <row r="173">
      <c r="J173" s="217"/>
      <c r="K173" s="217"/>
      <c r="L173" s="217"/>
    </row>
    <row r="174">
      <c r="J174" s="217"/>
      <c r="K174" s="217"/>
      <c r="L174" s="217"/>
    </row>
    <row r="175">
      <c r="J175" s="217"/>
      <c r="K175" s="217"/>
      <c r="L175" s="217"/>
    </row>
    <row r="176">
      <c r="J176" s="217"/>
      <c r="K176" s="217"/>
      <c r="L176" s="217"/>
    </row>
    <row r="177">
      <c r="J177" s="217"/>
      <c r="K177" s="217"/>
      <c r="L177" s="217"/>
    </row>
    <row r="178">
      <c r="J178" s="217"/>
      <c r="K178" s="217"/>
      <c r="L178" s="217"/>
    </row>
    <row r="179">
      <c r="J179" s="217"/>
      <c r="K179" s="217"/>
      <c r="L179" s="217"/>
    </row>
    <row r="180">
      <c r="J180" s="217"/>
      <c r="K180" s="217"/>
      <c r="L180" s="217"/>
    </row>
    <row r="181">
      <c r="J181" s="217"/>
      <c r="K181" s="217"/>
      <c r="L181" s="217"/>
    </row>
    <row r="182">
      <c r="J182" s="217"/>
      <c r="K182" s="217"/>
      <c r="L182" s="217"/>
    </row>
    <row r="183">
      <c r="J183" s="217"/>
      <c r="K183" s="217"/>
      <c r="L183" s="217"/>
    </row>
    <row r="184">
      <c r="J184" s="217"/>
      <c r="K184" s="217"/>
      <c r="L184" s="217"/>
    </row>
    <row r="185">
      <c r="J185" s="217"/>
      <c r="K185" s="217"/>
      <c r="L185" s="217"/>
    </row>
    <row r="186">
      <c r="J186" s="217"/>
      <c r="K186" s="217"/>
      <c r="L186" s="217"/>
    </row>
    <row r="187">
      <c r="J187" s="217"/>
      <c r="K187" s="217"/>
      <c r="L187" s="217"/>
    </row>
    <row r="188">
      <c r="J188" s="217"/>
      <c r="K188" s="217"/>
      <c r="L188" s="217"/>
    </row>
    <row r="189">
      <c r="J189" s="217"/>
      <c r="K189" s="217"/>
      <c r="L189" s="217"/>
    </row>
    <row r="190">
      <c r="J190" s="217"/>
      <c r="K190" s="217"/>
      <c r="L190" s="217"/>
    </row>
    <row r="191">
      <c r="J191" s="217"/>
      <c r="K191" s="217"/>
      <c r="L191" s="217"/>
    </row>
    <row r="192">
      <c r="J192" s="217"/>
      <c r="K192" s="217"/>
      <c r="L192" s="217"/>
    </row>
    <row r="193">
      <c r="J193" s="217"/>
      <c r="K193" s="217"/>
      <c r="L193" s="217"/>
    </row>
    <row r="194">
      <c r="J194" s="217"/>
      <c r="K194" s="217"/>
      <c r="L194" s="217"/>
    </row>
    <row r="195">
      <c r="J195" s="217"/>
      <c r="K195" s="217"/>
      <c r="L195" s="217"/>
    </row>
    <row r="196">
      <c r="J196" s="217"/>
      <c r="K196" s="217"/>
      <c r="L196" s="217"/>
    </row>
    <row r="197">
      <c r="J197" s="217"/>
      <c r="K197" s="217"/>
      <c r="L197" s="217"/>
    </row>
    <row r="198">
      <c r="J198" s="217"/>
      <c r="K198" s="217"/>
      <c r="L198" s="217"/>
    </row>
    <row r="199">
      <c r="J199" s="217"/>
      <c r="K199" s="217"/>
      <c r="L199" s="217"/>
    </row>
    <row r="200">
      <c r="J200" s="217"/>
      <c r="K200" s="217"/>
      <c r="L200" s="217"/>
    </row>
    <row r="201">
      <c r="J201" s="217"/>
      <c r="K201" s="217"/>
      <c r="L201" s="217"/>
    </row>
    <row r="202">
      <c r="J202" s="217"/>
      <c r="K202" s="217"/>
      <c r="L202" s="217"/>
    </row>
    <row r="203">
      <c r="J203" s="217"/>
      <c r="K203" s="217"/>
      <c r="L203" s="217"/>
    </row>
    <row r="204">
      <c r="J204" s="217"/>
      <c r="K204" s="217"/>
      <c r="L204" s="217"/>
    </row>
    <row r="205">
      <c r="J205" s="217"/>
      <c r="K205" s="217"/>
      <c r="L205" s="217"/>
    </row>
    <row r="206">
      <c r="J206" s="217"/>
      <c r="K206" s="217"/>
      <c r="L206" s="217"/>
    </row>
    <row r="207">
      <c r="J207" s="217"/>
      <c r="K207" s="217"/>
      <c r="L207" s="217"/>
    </row>
    <row r="208">
      <c r="J208" s="217"/>
      <c r="K208" s="217"/>
      <c r="L208" s="217"/>
    </row>
    <row r="209">
      <c r="J209" s="217"/>
      <c r="K209" s="217"/>
      <c r="L209" s="217"/>
    </row>
    <row r="210">
      <c r="J210" s="217"/>
      <c r="K210" s="217"/>
      <c r="L210" s="217"/>
    </row>
    <row r="211">
      <c r="J211" s="217"/>
      <c r="K211" s="217"/>
      <c r="L211" s="217"/>
    </row>
    <row r="212">
      <c r="J212" s="217"/>
      <c r="K212" s="217"/>
      <c r="L212" s="217"/>
    </row>
    <row r="213">
      <c r="J213" s="217"/>
      <c r="K213" s="217"/>
      <c r="L213" s="217"/>
    </row>
    <row r="214">
      <c r="J214" s="217"/>
      <c r="K214" s="217"/>
      <c r="L214" s="217"/>
    </row>
    <row r="215">
      <c r="J215" s="217"/>
      <c r="K215" s="217"/>
      <c r="L215" s="217"/>
    </row>
    <row r="216">
      <c r="J216" s="217"/>
      <c r="K216" s="217"/>
      <c r="L216" s="217"/>
    </row>
    <row r="217">
      <c r="J217" s="217"/>
      <c r="K217" s="217"/>
      <c r="L217" s="217"/>
    </row>
    <row r="218">
      <c r="J218" s="217"/>
      <c r="K218" s="217"/>
      <c r="L218" s="217"/>
    </row>
    <row r="219">
      <c r="J219" s="217"/>
      <c r="K219" s="217"/>
      <c r="L219" s="217"/>
    </row>
    <row r="220">
      <c r="J220" s="217"/>
      <c r="K220" s="217"/>
      <c r="L220" s="217"/>
    </row>
    <row r="221">
      <c r="J221" s="217"/>
      <c r="K221" s="217"/>
      <c r="L221" s="217"/>
    </row>
    <row r="222">
      <c r="J222" s="217"/>
      <c r="K222" s="217"/>
      <c r="L222" s="217"/>
    </row>
    <row r="223">
      <c r="J223" s="217"/>
      <c r="K223" s="217"/>
      <c r="L223" s="217"/>
    </row>
    <row r="224">
      <c r="J224" s="217"/>
      <c r="K224" s="217"/>
      <c r="L224" s="217"/>
    </row>
    <row r="225">
      <c r="J225" s="217"/>
      <c r="K225" s="217"/>
      <c r="L225" s="217"/>
    </row>
    <row r="226">
      <c r="J226" s="217"/>
      <c r="K226" s="217"/>
      <c r="L226" s="217"/>
    </row>
    <row r="227">
      <c r="J227" s="217"/>
      <c r="K227" s="217"/>
      <c r="L227" s="217"/>
    </row>
    <row r="228">
      <c r="J228" s="217"/>
      <c r="K228" s="217"/>
      <c r="L228" s="217"/>
    </row>
    <row r="229">
      <c r="J229" s="217"/>
      <c r="K229" s="217"/>
      <c r="L229" s="217"/>
    </row>
    <row r="230">
      <c r="J230" s="217"/>
      <c r="K230" s="217"/>
      <c r="L230" s="217"/>
    </row>
    <row r="231">
      <c r="J231" s="217"/>
      <c r="K231" s="217"/>
      <c r="L231" s="217"/>
    </row>
    <row r="232">
      <c r="J232" s="217"/>
      <c r="K232" s="217"/>
      <c r="L232" s="217"/>
    </row>
    <row r="233">
      <c r="J233" s="217"/>
      <c r="K233" s="217"/>
      <c r="L233" s="217"/>
    </row>
    <row r="234">
      <c r="J234" s="217"/>
      <c r="K234" s="217"/>
      <c r="L234" s="217"/>
    </row>
    <row r="235">
      <c r="J235" s="217"/>
      <c r="K235" s="217"/>
      <c r="L235" s="217"/>
    </row>
    <row r="236">
      <c r="J236" s="217"/>
      <c r="K236" s="217"/>
      <c r="L236" s="217"/>
    </row>
    <row r="237">
      <c r="J237" s="217"/>
      <c r="K237" s="217"/>
      <c r="L237" s="217"/>
    </row>
    <row r="238">
      <c r="J238" s="217"/>
      <c r="K238" s="217"/>
      <c r="L238" s="217"/>
    </row>
    <row r="239">
      <c r="J239" s="217"/>
      <c r="K239" s="217"/>
      <c r="L239" s="217"/>
    </row>
    <row r="240">
      <c r="J240" s="217"/>
      <c r="K240" s="217"/>
      <c r="L240" s="217"/>
    </row>
    <row r="241">
      <c r="J241" s="217"/>
      <c r="K241" s="217"/>
      <c r="L241" s="217"/>
    </row>
    <row r="242">
      <c r="J242" s="217"/>
      <c r="K242" s="217"/>
      <c r="L242" s="217"/>
    </row>
    <row r="243">
      <c r="J243" s="217"/>
      <c r="K243" s="217"/>
      <c r="L243" s="217"/>
    </row>
    <row r="244">
      <c r="J244" s="217"/>
      <c r="K244" s="217"/>
      <c r="L244" s="217"/>
    </row>
    <row r="245">
      <c r="J245" s="217"/>
      <c r="K245" s="217"/>
      <c r="L245" s="217"/>
    </row>
    <row r="246">
      <c r="J246" s="217"/>
      <c r="K246" s="217"/>
      <c r="L246" s="217"/>
    </row>
    <row r="247">
      <c r="J247" s="217"/>
      <c r="K247" s="217"/>
      <c r="L247" s="217"/>
    </row>
    <row r="248">
      <c r="J248" s="217"/>
      <c r="K248" s="217"/>
      <c r="L248" s="217"/>
    </row>
    <row r="249">
      <c r="J249" s="217"/>
      <c r="K249" s="217"/>
      <c r="L249" s="217"/>
    </row>
    <row r="250">
      <c r="J250" s="217"/>
      <c r="K250" s="217"/>
      <c r="L250" s="217"/>
    </row>
    <row r="251">
      <c r="J251" s="217"/>
      <c r="K251" s="217"/>
      <c r="L251" s="217"/>
    </row>
    <row r="252">
      <c r="J252" s="217"/>
      <c r="K252" s="217"/>
      <c r="L252" s="217"/>
    </row>
    <row r="253">
      <c r="J253" s="217"/>
      <c r="K253" s="217"/>
      <c r="L253" s="217"/>
    </row>
    <row r="254">
      <c r="J254" s="217"/>
      <c r="K254" s="217"/>
      <c r="L254" s="217"/>
    </row>
    <row r="255">
      <c r="J255" s="217"/>
      <c r="K255" s="217"/>
      <c r="L255" s="217"/>
    </row>
    <row r="256">
      <c r="J256" s="217"/>
      <c r="K256" s="217"/>
      <c r="L256" s="217"/>
    </row>
    <row r="257">
      <c r="J257" s="217"/>
      <c r="K257" s="217"/>
      <c r="L257" s="217"/>
    </row>
    <row r="258">
      <c r="J258" s="217"/>
      <c r="K258" s="217"/>
      <c r="L258" s="217"/>
    </row>
    <row r="259">
      <c r="J259" s="217"/>
      <c r="K259" s="217"/>
      <c r="L259" s="217"/>
    </row>
    <row r="260">
      <c r="J260" s="217"/>
      <c r="K260" s="217"/>
      <c r="L260" s="217"/>
    </row>
    <row r="261">
      <c r="J261" s="217"/>
      <c r="K261" s="217"/>
      <c r="L261" s="217"/>
    </row>
    <row r="262">
      <c r="J262" s="217"/>
      <c r="K262" s="217"/>
      <c r="L262" s="217"/>
    </row>
    <row r="263">
      <c r="J263" s="217"/>
      <c r="K263" s="217"/>
      <c r="L263" s="217"/>
    </row>
    <row r="264">
      <c r="J264" s="217"/>
      <c r="K264" s="217"/>
      <c r="L264" s="217"/>
    </row>
    <row r="265">
      <c r="J265" s="217"/>
      <c r="K265" s="217"/>
      <c r="L265" s="217"/>
    </row>
    <row r="266">
      <c r="J266" s="217"/>
      <c r="K266" s="217"/>
      <c r="L266" s="217"/>
    </row>
    <row r="267">
      <c r="J267" s="217"/>
      <c r="K267" s="217"/>
      <c r="L267" s="217"/>
    </row>
    <row r="268">
      <c r="J268" s="217"/>
      <c r="K268" s="217"/>
      <c r="L268" s="217"/>
    </row>
    <row r="269">
      <c r="J269" s="217"/>
      <c r="K269" s="217"/>
      <c r="L269" s="217"/>
    </row>
    <row r="270">
      <c r="J270" s="217"/>
      <c r="K270" s="217"/>
      <c r="L270" s="217"/>
    </row>
    <row r="271">
      <c r="J271" s="217"/>
      <c r="K271" s="217"/>
      <c r="L271" s="217"/>
    </row>
    <row r="272">
      <c r="J272" s="217"/>
      <c r="K272" s="217"/>
      <c r="L272" s="217"/>
    </row>
    <row r="273">
      <c r="J273" s="217"/>
      <c r="K273" s="217"/>
      <c r="L273" s="217"/>
    </row>
    <row r="274">
      <c r="J274" s="217"/>
      <c r="K274" s="217"/>
      <c r="L274" s="217"/>
    </row>
    <row r="275">
      <c r="J275" s="217"/>
      <c r="K275" s="217"/>
      <c r="L275" s="217"/>
    </row>
    <row r="276">
      <c r="J276" s="217"/>
      <c r="K276" s="217"/>
      <c r="L276" s="217"/>
    </row>
    <row r="277">
      <c r="J277" s="217"/>
      <c r="K277" s="217"/>
      <c r="L277" s="217"/>
    </row>
    <row r="278">
      <c r="J278" s="217"/>
      <c r="K278" s="217"/>
      <c r="L278" s="217"/>
    </row>
    <row r="279">
      <c r="J279" s="217"/>
      <c r="K279" s="217"/>
      <c r="L279" s="217"/>
    </row>
    <row r="280">
      <c r="J280" s="217"/>
      <c r="K280" s="217"/>
      <c r="L280" s="217"/>
    </row>
    <row r="281">
      <c r="J281" s="217"/>
      <c r="K281" s="217"/>
      <c r="L281" s="217"/>
    </row>
    <row r="282">
      <c r="J282" s="217"/>
      <c r="K282" s="217"/>
      <c r="L282" s="217"/>
    </row>
    <row r="283">
      <c r="J283" s="217"/>
      <c r="K283" s="217"/>
      <c r="L283" s="217"/>
    </row>
    <row r="284">
      <c r="J284" s="217"/>
      <c r="K284" s="217"/>
      <c r="L284" s="217"/>
    </row>
    <row r="285">
      <c r="J285" s="217"/>
      <c r="K285" s="217"/>
      <c r="L285" s="217"/>
    </row>
    <row r="286">
      <c r="J286" s="217"/>
      <c r="K286" s="217"/>
      <c r="L286" s="217"/>
    </row>
    <row r="287">
      <c r="J287" s="217"/>
      <c r="K287" s="217"/>
      <c r="L287" s="217"/>
    </row>
    <row r="288">
      <c r="J288" s="217"/>
      <c r="K288" s="217"/>
      <c r="L288" s="217"/>
    </row>
    <row r="289">
      <c r="J289" s="217"/>
      <c r="K289" s="217"/>
      <c r="L289" s="217"/>
    </row>
    <row r="290">
      <c r="J290" s="217"/>
      <c r="K290" s="217"/>
      <c r="L290" s="217"/>
    </row>
    <row r="291">
      <c r="J291" s="217"/>
      <c r="K291" s="217"/>
      <c r="L291" s="217"/>
    </row>
    <row r="292">
      <c r="J292" s="217"/>
      <c r="K292" s="217"/>
      <c r="L292" s="217"/>
    </row>
    <row r="293">
      <c r="J293" s="217"/>
      <c r="K293" s="217"/>
      <c r="L293" s="217"/>
    </row>
    <row r="294">
      <c r="J294" s="217"/>
      <c r="K294" s="217"/>
      <c r="L294" s="217"/>
    </row>
    <row r="295">
      <c r="J295" s="217"/>
      <c r="K295" s="217"/>
      <c r="L295" s="217"/>
    </row>
    <row r="296">
      <c r="J296" s="217"/>
      <c r="K296" s="217"/>
      <c r="L296" s="217"/>
    </row>
    <row r="297">
      <c r="J297" s="217"/>
      <c r="K297" s="217"/>
      <c r="L297" s="217"/>
    </row>
    <row r="298">
      <c r="J298" s="217"/>
      <c r="K298" s="217"/>
      <c r="L298" s="217"/>
    </row>
    <row r="299">
      <c r="J299" s="217"/>
      <c r="K299" s="217"/>
      <c r="L299" s="217"/>
    </row>
    <row r="300">
      <c r="J300" s="217"/>
      <c r="K300" s="217"/>
      <c r="L300" s="217"/>
    </row>
    <row r="301">
      <c r="J301" s="217"/>
      <c r="K301" s="217"/>
      <c r="L301" s="217"/>
    </row>
    <row r="302">
      <c r="J302" s="217"/>
      <c r="K302" s="217"/>
      <c r="L302" s="217"/>
    </row>
    <row r="303">
      <c r="J303" s="217"/>
      <c r="K303" s="217"/>
      <c r="L303" s="217"/>
    </row>
    <row r="304">
      <c r="J304" s="217"/>
      <c r="K304" s="217"/>
      <c r="L304" s="217"/>
    </row>
    <row r="305">
      <c r="J305" s="217"/>
      <c r="K305" s="217"/>
      <c r="L305" s="217"/>
    </row>
    <row r="306">
      <c r="J306" s="217"/>
      <c r="K306" s="217"/>
      <c r="L306" s="217"/>
    </row>
    <row r="307">
      <c r="J307" s="217"/>
      <c r="K307" s="217"/>
      <c r="L307" s="217"/>
    </row>
    <row r="308">
      <c r="J308" s="217"/>
      <c r="K308" s="217"/>
      <c r="L308" s="217"/>
    </row>
    <row r="309">
      <c r="J309" s="217"/>
      <c r="K309" s="217"/>
      <c r="L309" s="217"/>
    </row>
    <row r="310">
      <c r="J310" s="217"/>
      <c r="K310" s="217"/>
      <c r="L310" s="217"/>
    </row>
    <row r="311">
      <c r="J311" s="217"/>
      <c r="K311" s="217"/>
      <c r="L311" s="217"/>
    </row>
    <row r="312">
      <c r="J312" s="217"/>
      <c r="K312" s="217"/>
      <c r="L312" s="217"/>
    </row>
    <row r="313">
      <c r="J313" s="217"/>
      <c r="K313" s="217"/>
      <c r="L313" s="217"/>
    </row>
    <row r="314">
      <c r="J314" s="217"/>
      <c r="K314" s="217"/>
      <c r="L314" s="217"/>
    </row>
    <row r="315">
      <c r="J315" s="217"/>
      <c r="K315" s="217"/>
      <c r="L315" s="217"/>
    </row>
    <row r="316">
      <c r="J316" s="217"/>
      <c r="K316" s="217"/>
      <c r="L316" s="217"/>
    </row>
    <row r="317">
      <c r="J317" s="217"/>
      <c r="K317" s="217"/>
      <c r="L317" s="217"/>
    </row>
    <row r="318">
      <c r="J318" s="217"/>
      <c r="K318" s="217"/>
      <c r="L318" s="217"/>
    </row>
    <row r="319">
      <c r="J319" s="217"/>
      <c r="K319" s="217"/>
      <c r="L319" s="217"/>
    </row>
    <row r="320">
      <c r="J320" s="217"/>
      <c r="K320" s="217"/>
      <c r="L320" s="217"/>
    </row>
    <row r="321">
      <c r="J321" s="217"/>
      <c r="K321" s="217"/>
      <c r="L321" s="217"/>
    </row>
    <row r="322">
      <c r="J322" s="217"/>
      <c r="K322" s="217"/>
      <c r="L322" s="217"/>
    </row>
    <row r="323">
      <c r="J323" s="217"/>
      <c r="K323" s="217"/>
      <c r="L323" s="217"/>
    </row>
    <row r="324">
      <c r="J324" s="217"/>
      <c r="K324" s="217"/>
      <c r="L324" s="217"/>
    </row>
    <row r="325">
      <c r="J325" s="217"/>
      <c r="K325" s="217"/>
      <c r="L325" s="217"/>
    </row>
    <row r="326">
      <c r="J326" s="217"/>
      <c r="K326" s="217"/>
      <c r="L326" s="217"/>
    </row>
    <row r="327">
      <c r="J327" s="217"/>
      <c r="K327" s="217"/>
      <c r="L327" s="217"/>
    </row>
    <row r="328">
      <c r="J328" s="217"/>
      <c r="K328" s="217"/>
      <c r="L328" s="217"/>
    </row>
    <row r="329">
      <c r="J329" s="217"/>
      <c r="K329" s="217"/>
      <c r="L329" s="217"/>
    </row>
    <row r="330">
      <c r="J330" s="217"/>
      <c r="K330" s="217"/>
      <c r="L330" s="217"/>
    </row>
    <row r="331">
      <c r="J331" s="217"/>
      <c r="K331" s="217"/>
      <c r="L331" s="217"/>
    </row>
    <row r="332">
      <c r="J332" s="217"/>
      <c r="K332" s="217"/>
      <c r="L332" s="217"/>
    </row>
    <row r="333">
      <c r="J333" s="217"/>
      <c r="K333" s="217"/>
      <c r="L333" s="217"/>
    </row>
    <row r="334">
      <c r="J334" s="217"/>
      <c r="K334" s="217"/>
      <c r="L334" s="217"/>
    </row>
    <row r="335">
      <c r="J335" s="217"/>
      <c r="K335" s="217"/>
      <c r="L335" s="217"/>
    </row>
    <row r="336">
      <c r="J336" s="217"/>
      <c r="K336" s="217"/>
      <c r="L336" s="217"/>
    </row>
    <row r="337">
      <c r="J337" s="217"/>
      <c r="K337" s="217"/>
      <c r="L337" s="217"/>
    </row>
    <row r="338">
      <c r="J338" s="217"/>
      <c r="K338" s="217"/>
      <c r="L338" s="217"/>
    </row>
    <row r="339">
      <c r="J339" s="217"/>
      <c r="K339" s="217"/>
      <c r="L339" s="217"/>
    </row>
    <row r="340">
      <c r="J340" s="217"/>
      <c r="K340" s="217"/>
      <c r="L340" s="217"/>
    </row>
    <row r="341">
      <c r="J341" s="217"/>
      <c r="K341" s="217"/>
      <c r="L341" s="217"/>
    </row>
    <row r="342">
      <c r="J342" s="217"/>
      <c r="K342" s="217"/>
      <c r="L342" s="217"/>
    </row>
    <row r="343">
      <c r="J343" s="217"/>
      <c r="K343" s="217"/>
      <c r="L343" s="217"/>
    </row>
    <row r="344">
      <c r="J344" s="217"/>
      <c r="K344" s="217"/>
      <c r="L344" s="217"/>
    </row>
    <row r="345">
      <c r="J345" s="217"/>
      <c r="K345" s="217"/>
      <c r="L345" s="217"/>
    </row>
    <row r="346">
      <c r="J346" s="217"/>
      <c r="K346" s="217"/>
      <c r="L346" s="217"/>
    </row>
    <row r="347">
      <c r="J347" s="217"/>
      <c r="K347" s="217"/>
      <c r="L347" s="217"/>
    </row>
    <row r="348">
      <c r="J348" s="217"/>
      <c r="K348" s="217"/>
      <c r="L348" s="217"/>
    </row>
    <row r="349">
      <c r="J349" s="217"/>
      <c r="K349" s="217"/>
      <c r="L349" s="217"/>
    </row>
    <row r="350">
      <c r="J350" s="217"/>
      <c r="K350" s="217"/>
      <c r="L350" s="217"/>
    </row>
    <row r="351">
      <c r="J351" s="217"/>
      <c r="K351" s="217"/>
      <c r="L351" s="217"/>
    </row>
    <row r="352">
      <c r="J352" s="217"/>
      <c r="K352" s="217"/>
      <c r="L352" s="217"/>
    </row>
    <row r="353">
      <c r="J353" s="217"/>
      <c r="K353" s="217"/>
      <c r="L353" s="217"/>
    </row>
    <row r="354">
      <c r="J354" s="217"/>
      <c r="K354" s="217"/>
      <c r="L354" s="217"/>
    </row>
    <row r="355">
      <c r="J355" s="217"/>
      <c r="K355" s="217"/>
      <c r="L355" s="217"/>
    </row>
    <row r="356">
      <c r="J356" s="217"/>
      <c r="K356" s="217"/>
      <c r="L356" s="217"/>
    </row>
    <row r="357">
      <c r="J357" s="217"/>
      <c r="K357" s="217"/>
      <c r="L357" s="217"/>
    </row>
    <row r="358">
      <c r="J358" s="217"/>
      <c r="K358" s="217"/>
      <c r="L358" s="217"/>
    </row>
    <row r="359">
      <c r="J359" s="217"/>
      <c r="K359" s="217"/>
      <c r="L359" s="217"/>
    </row>
    <row r="360">
      <c r="J360" s="217"/>
      <c r="K360" s="217"/>
      <c r="L360" s="217"/>
    </row>
    <row r="361">
      <c r="J361" s="217"/>
      <c r="K361" s="217"/>
      <c r="L361" s="217"/>
    </row>
    <row r="362">
      <c r="J362" s="217"/>
      <c r="K362" s="217"/>
      <c r="L362" s="217"/>
    </row>
    <row r="363">
      <c r="J363" s="217"/>
      <c r="K363" s="217"/>
      <c r="L363" s="217"/>
    </row>
    <row r="364">
      <c r="J364" s="217"/>
      <c r="K364" s="217"/>
      <c r="L364" s="217"/>
    </row>
    <row r="365">
      <c r="J365" s="217"/>
      <c r="K365" s="217"/>
      <c r="L365" s="217"/>
    </row>
    <row r="366">
      <c r="J366" s="217"/>
      <c r="K366" s="217"/>
      <c r="L366" s="217"/>
    </row>
    <row r="367">
      <c r="J367" s="217"/>
      <c r="K367" s="217"/>
      <c r="L367" s="217"/>
    </row>
    <row r="368">
      <c r="J368" s="217"/>
      <c r="K368" s="217"/>
      <c r="L368" s="217"/>
    </row>
    <row r="369">
      <c r="J369" s="217"/>
      <c r="K369" s="217"/>
      <c r="L369" s="217"/>
    </row>
    <row r="370">
      <c r="J370" s="217"/>
      <c r="K370" s="217"/>
      <c r="L370" s="217"/>
    </row>
    <row r="371">
      <c r="J371" s="217"/>
      <c r="K371" s="217"/>
      <c r="L371" s="217"/>
    </row>
    <row r="372">
      <c r="J372" s="217"/>
      <c r="K372" s="217"/>
      <c r="L372" s="217"/>
    </row>
    <row r="373">
      <c r="J373" s="217"/>
      <c r="K373" s="217"/>
      <c r="L373" s="217"/>
    </row>
    <row r="374">
      <c r="J374" s="217"/>
      <c r="K374" s="217"/>
      <c r="L374" s="217"/>
    </row>
    <row r="375">
      <c r="J375" s="217"/>
      <c r="K375" s="217"/>
      <c r="L375" s="217"/>
    </row>
    <row r="376">
      <c r="J376" s="217"/>
      <c r="K376" s="217"/>
      <c r="L376" s="217"/>
    </row>
    <row r="377">
      <c r="J377" s="217"/>
      <c r="K377" s="217"/>
      <c r="L377" s="217"/>
    </row>
    <row r="378">
      <c r="J378" s="217"/>
      <c r="K378" s="217"/>
      <c r="L378" s="217"/>
    </row>
    <row r="379">
      <c r="J379" s="217"/>
      <c r="K379" s="217"/>
      <c r="L379" s="217"/>
    </row>
    <row r="380">
      <c r="J380" s="217"/>
      <c r="K380" s="217"/>
      <c r="L380" s="217"/>
    </row>
    <row r="381">
      <c r="J381" s="217"/>
      <c r="K381" s="217"/>
      <c r="L381" s="217"/>
    </row>
    <row r="382">
      <c r="J382" s="217"/>
      <c r="K382" s="217"/>
      <c r="L382" s="217"/>
    </row>
    <row r="383">
      <c r="J383" s="217"/>
      <c r="K383" s="217"/>
      <c r="L383" s="217"/>
    </row>
    <row r="384">
      <c r="J384" s="217"/>
      <c r="K384" s="217"/>
      <c r="L384" s="217"/>
    </row>
    <row r="385">
      <c r="J385" s="217"/>
      <c r="K385" s="217"/>
      <c r="L385" s="217"/>
    </row>
    <row r="386">
      <c r="J386" s="217"/>
      <c r="K386" s="217"/>
      <c r="L386" s="217"/>
    </row>
    <row r="387">
      <c r="J387" s="217"/>
      <c r="K387" s="217"/>
      <c r="L387" s="217"/>
    </row>
    <row r="388">
      <c r="J388" s="217"/>
      <c r="K388" s="217"/>
      <c r="L388" s="217"/>
    </row>
    <row r="389">
      <c r="J389" s="217"/>
      <c r="K389" s="217"/>
      <c r="L389" s="217"/>
    </row>
    <row r="390">
      <c r="J390" s="217"/>
      <c r="K390" s="217"/>
      <c r="L390" s="217"/>
    </row>
    <row r="391">
      <c r="J391" s="217"/>
      <c r="K391" s="217"/>
      <c r="L391" s="217"/>
    </row>
    <row r="392">
      <c r="J392" s="217"/>
      <c r="K392" s="217"/>
      <c r="L392" s="217"/>
    </row>
    <row r="393">
      <c r="J393" s="217"/>
      <c r="K393" s="217"/>
      <c r="L393" s="217"/>
    </row>
    <row r="394">
      <c r="J394" s="217"/>
      <c r="K394" s="217"/>
      <c r="L394" s="217"/>
    </row>
    <row r="395">
      <c r="J395" s="217"/>
      <c r="K395" s="217"/>
      <c r="L395" s="217"/>
    </row>
    <row r="396">
      <c r="J396" s="217"/>
      <c r="K396" s="217"/>
      <c r="L396" s="217"/>
    </row>
    <row r="397">
      <c r="J397" s="217"/>
      <c r="K397" s="217"/>
      <c r="L397" s="217"/>
    </row>
    <row r="398">
      <c r="J398" s="217"/>
      <c r="K398" s="217"/>
      <c r="L398" s="217"/>
    </row>
    <row r="399">
      <c r="J399" s="217"/>
      <c r="K399" s="217"/>
      <c r="L399" s="217"/>
    </row>
    <row r="400">
      <c r="J400" s="217"/>
      <c r="K400" s="217"/>
      <c r="L400" s="217"/>
    </row>
    <row r="401">
      <c r="J401" s="217"/>
      <c r="K401" s="217"/>
      <c r="L401" s="217"/>
    </row>
    <row r="402">
      <c r="J402" s="217"/>
      <c r="K402" s="217"/>
      <c r="L402" s="217"/>
    </row>
    <row r="403">
      <c r="J403" s="217"/>
      <c r="K403" s="217"/>
      <c r="L403" s="217"/>
    </row>
    <row r="404">
      <c r="J404" s="217"/>
      <c r="K404" s="217"/>
      <c r="L404" s="217"/>
    </row>
    <row r="405">
      <c r="J405" s="217"/>
      <c r="K405" s="217"/>
      <c r="L405" s="217"/>
    </row>
    <row r="406">
      <c r="J406" s="217"/>
      <c r="K406" s="217"/>
      <c r="L406" s="217"/>
    </row>
    <row r="407">
      <c r="J407" s="217"/>
      <c r="K407" s="217"/>
      <c r="L407" s="217"/>
    </row>
    <row r="408">
      <c r="J408" s="217"/>
      <c r="K408" s="217"/>
      <c r="L408" s="217"/>
    </row>
    <row r="409">
      <c r="J409" s="217"/>
      <c r="K409" s="217"/>
      <c r="L409" s="217"/>
    </row>
    <row r="410">
      <c r="J410" s="217"/>
      <c r="K410" s="217"/>
      <c r="L410" s="217"/>
    </row>
    <row r="411">
      <c r="J411" s="217"/>
      <c r="K411" s="217"/>
      <c r="L411" s="217"/>
    </row>
    <row r="412">
      <c r="J412" s="217"/>
      <c r="K412" s="217"/>
      <c r="L412" s="217"/>
    </row>
    <row r="413">
      <c r="J413" s="217"/>
      <c r="K413" s="217"/>
      <c r="L413" s="217"/>
    </row>
    <row r="414">
      <c r="J414" s="217"/>
      <c r="K414" s="217"/>
      <c r="L414" s="217"/>
    </row>
    <row r="415">
      <c r="J415" s="217"/>
      <c r="K415" s="217"/>
      <c r="L415" s="217"/>
    </row>
    <row r="416">
      <c r="J416" s="217"/>
      <c r="K416" s="217"/>
      <c r="L416" s="217"/>
    </row>
    <row r="417">
      <c r="J417" s="217"/>
      <c r="K417" s="217"/>
      <c r="L417" s="217"/>
    </row>
    <row r="418">
      <c r="J418" s="217"/>
      <c r="K418" s="217"/>
      <c r="L418" s="217"/>
    </row>
    <row r="419">
      <c r="J419" s="217"/>
      <c r="K419" s="217"/>
      <c r="L419" s="217"/>
    </row>
    <row r="420">
      <c r="J420" s="217"/>
      <c r="K420" s="217"/>
      <c r="L420" s="217"/>
    </row>
    <row r="421">
      <c r="J421" s="217"/>
      <c r="K421" s="217"/>
      <c r="L421" s="217"/>
    </row>
    <row r="422">
      <c r="J422" s="217"/>
      <c r="K422" s="217"/>
      <c r="L422" s="217"/>
    </row>
    <row r="423">
      <c r="J423" s="217"/>
      <c r="K423" s="217"/>
      <c r="L423" s="217"/>
    </row>
    <row r="424">
      <c r="J424" s="217"/>
      <c r="K424" s="217"/>
      <c r="L424" s="217"/>
    </row>
    <row r="425">
      <c r="J425" s="217"/>
      <c r="K425" s="217"/>
      <c r="L425" s="217"/>
    </row>
    <row r="426">
      <c r="J426" s="217"/>
      <c r="K426" s="217"/>
      <c r="L426" s="217"/>
    </row>
    <row r="427">
      <c r="J427" s="217"/>
      <c r="K427" s="217"/>
      <c r="L427" s="217"/>
    </row>
    <row r="428">
      <c r="J428" s="217"/>
      <c r="K428" s="217"/>
      <c r="L428" s="217"/>
    </row>
    <row r="429">
      <c r="J429" s="217"/>
      <c r="K429" s="217"/>
      <c r="L429" s="217"/>
    </row>
    <row r="430">
      <c r="J430" s="217"/>
      <c r="K430" s="217"/>
      <c r="L430" s="217"/>
    </row>
    <row r="431">
      <c r="J431" s="217"/>
      <c r="K431" s="217"/>
      <c r="L431" s="217"/>
    </row>
    <row r="432">
      <c r="J432" s="217"/>
      <c r="K432" s="217"/>
      <c r="L432" s="217"/>
    </row>
    <row r="433">
      <c r="J433" s="217"/>
      <c r="K433" s="217"/>
      <c r="L433" s="217"/>
    </row>
    <row r="434">
      <c r="J434" s="217"/>
      <c r="K434" s="217"/>
      <c r="L434" s="217"/>
    </row>
    <row r="435">
      <c r="J435" s="217"/>
      <c r="K435" s="217"/>
      <c r="L435" s="217"/>
    </row>
    <row r="436">
      <c r="J436" s="217"/>
      <c r="K436" s="217"/>
      <c r="L436" s="217"/>
    </row>
    <row r="437">
      <c r="J437" s="217"/>
      <c r="K437" s="217"/>
      <c r="L437" s="217"/>
    </row>
    <row r="438">
      <c r="J438" s="217"/>
      <c r="K438" s="217"/>
      <c r="L438" s="217"/>
    </row>
    <row r="439">
      <c r="J439" s="217"/>
      <c r="K439" s="217"/>
      <c r="L439" s="217"/>
    </row>
    <row r="440">
      <c r="J440" s="217"/>
      <c r="K440" s="217"/>
      <c r="L440" s="217"/>
    </row>
    <row r="441">
      <c r="J441" s="217"/>
      <c r="K441" s="217"/>
      <c r="L441" s="217"/>
    </row>
    <row r="442">
      <c r="J442" s="217"/>
      <c r="K442" s="217"/>
      <c r="L442" s="217"/>
    </row>
    <row r="443">
      <c r="J443" s="217"/>
      <c r="K443" s="217"/>
      <c r="L443" s="217"/>
    </row>
    <row r="444">
      <c r="J444" s="217"/>
      <c r="K444" s="217"/>
      <c r="L444" s="217"/>
    </row>
    <row r="445">
      <c r="J445" s="217"/>
      <c r="K445" s="217"/>
      <c r="L445" s="217"/>
    </row>
    <row r="446">
      <c r="J446" s="217"/>
      <c r="K446" s="217"/>
      <c r="L446" s="217"/>
    </row>
    <row r="447">
      <c r="J447" s="217"/>
      <c r="K447" s="217"/>
      <c r="L447" s="217"/>
    </row>
    <row r="448">
      <c r="J448" s="217"/>
      <c r="K448" s="217"/>
      <c r="L448" s="217"/>
    </row>
    <row r="449">
      <c r="J449" s="217"/>
      <c r="K449" s="217"/>
      <c r="L449" s="217"/>
    </row>
    <row r="450">
      <c r="J450" s="217"/>
      <c r="K450" s="217"/>
      <c r="L450" s="217"/>
    </row>
    <row r="451">
      <c r="J451" s="217"/>
      <c r="K451" s="217"/>
      <c r="L451" s="217"/>
    </row>
    <row r="452">
      <c r="J452" s="217"/>
      <c r="K452" s="217"/>
      <c r="L452" s="217"/>
    </row>
    <row r="453">
      <c r="J453" s="217"/>
      <c r="K453" s="217"/>
      <c r="L453" s="217"/>
    </row>
    <row r="454">
      <c r="J454" s="217"/>
      <c r="K454" s="217"/>
      <c r="L454" s="217"/>
    </row>
    <row r="455">
      <c r="J455" s="217"/>
      <c r="K455" s="217"/>
      <c r="L455" s="217"/>
    </row>
    <row r="456">
      <c r="J456" s="217"/>
      <c r="K456" s="217"/>
      <c r="L456" s="217"/>
    </row>
    <row r="457">
      <c r="J457" s="217"/>
      <c r="K457" s="217"/>
      <c r="L457" s="217"/>
    </row>
    <row r="458">
      <c r="J458" s="217"/>
      <c r="K458" s="217"/>
      <c r="L458" s="217"/>
    </row>
    <row r="459">
      <c r="J459" s="217"/>
      <c r="K459" s="217"/>
      <c r="L459" s="217"/>
    </row>
    <row r="460">
      <c r="J460" s="217"/>
      <c r="K460" s="217"/>
      <c r="L460" s="217"/>
    </row>
    <row r="461">
      <c r="J461" s="217"/>
      <c r="K461" s="217"/>
      <c r="L461" s="217"/>
    </row>
    <row r="462">
      <c r="J462" s="217"/>
      <c r="K462" s="217"/>
      <c r="L462" s="217"/>
    </row>
    <row r="463">
      <c r="J463" s="217"/>
      <c r="K463" s="217"/>
      <c r="L463" s="217"/>
    </row>
    <row r="464">
      <c r="J464" s="217"/>
      <c r="K464" s="217"/>
      <c r="L464" s="217"/>
    </row>
    <row r="465">
      <c r="J465" s="217"/>
      <c r="K465" s="217"/>
      <c r="L465" s="217"/>
    </row>
    <row r="466">
      <c r="J466" s="217"/>
      <c r="K466" s="217"/>
      <c r="L466" s="217"/>
    </row>
    <row r="467">
      <c r="J467" s="217"/>
      <c r="K467" s="217"/>
      <c r="L467" s="217"/>
    </row>
    <row r="468">
      <c r="J468" s="217"/>
      <c r="K468" s="217"/>
      <c r="L468" s="217"/>
    </row>
    <row r="469">
      <c r="J469" s="217"/>
      <c r="K469" s="217"/>
      <c r="L469" s="217"/>
    </row>
    <row r="470">
      <c r="J470" s="217"/>
      <c r="K470" s="217"/>
      <c r="L470" s="217"/>
    </row>
    <row r="471">
      <c r="J471" s="217"/>
      <c r="K471" s="217"/>
      <c r="L471" s="217"/>
    </row>
    <row r="472">
      <c r="J472" s="217"/>
      <c r="K472" s="217"/>
      <c r="L472" s="217"/>
    </row>
    <row r="473">
      <c r="J473" s="217"/>
      <c r="K473" s="217"/>
      <c r="L473" s="217"/>
    </row>
    <row r="474">
      <c r="J474" s="217"/>
      <c r="K474" s="217"/>
      <c r="L474" s="217"/>
    </row>
    <row r="475">
      <c r="J475" s="217"/>
      <c r="K475" s="217"/>
      <c r="L475" s="217"/>
    </row>
    <row r="476">
      <c r="J476" s="217"/>
      <c r="K476" s="217"/>
      <c r="L476" s="217"/>
    </row>
    <row r="477">
      <c r="J477" s="217"/>
      <c r="K477" s="217"/>
      <c r="L477" s="217"/>
    </row>
    <row r="478">
      <c r="J478" s="217"/>
      <c r="K478" s="217"/>
      <c r="L478" s="217"/>
    </row>
    <row r="479">
      <c r="J479" s="217"/>
      <c r="K479" s="217"/>
      <c r="L479" s="217"/>
    </row>
    <row r="480">
      <c r="J480" s="217"/>
      <c r="K480" s="217"/>
      <c r="L480" s="217"/>
    </row>
    <row r="481">
      <c r="J481" s="217"/>
      <c r="K481" s="217"/>
      <c r="L481" s="217"/>
    </row>
    <row r="482">
      <c r="J482" s="217"/>
      <c r="K482" s="217"/>
      <c r="L482" s="217"/>
    </row>
    <row r="483">
      <c r="J483" s="217"/>
      <c r="K483" s="217"/>
      <c r="L483" s="217"/>
    </row>
    <row r="484">
      <c r="J484" s="217"/>
      <c r="K484" s="217"/>
      <c r="L484" s="217"/>
    </row>
    <row r="485">
      <c r="J485" s="217"/>
      <c r="K485" s="217"/>
      <c r="L485" s="217"/>
    </row>
    <row r="486">
      <c r="J486" s="217"/>
      <c r="K486" s="217"/>
      <c r="L486" s="217"/>
    </row>
    <row r="487">
      <c r="J487" s="217"/>
      <c r="K487" s="217"/>
      <c r="L487" s="217"/>
    </row>
    <row r="488">
      <c r="J488" s="217"/>
      <c r="K488" s="217"/>
      <c r="L488" s="217"/>
    </row>
    <row r="489">
      <c r="J489" s="217"/>
      <c r="K489" s="217"/>
      <c r="L489" s="217"/>
    </row>
    <row r="490">
      <c r="J490" s="217"/>
      <c r="K490" s="217"/>
      <c r="L490" s="217"/>
    </row>
    <row r="491">
      <c r="J491" s="217"/>
      <c r="K491" s="217"/>
      <c r="L491" s="217"/>
    </row>
    <row r="492">
      <c r="J492" s="217"/>
      <c r="K492" s="217"/>
      <c r="L492" s="217"/>
    </row>
    <row r="493">
      <c r="J493" s="217"/>
      <c r="K493" s="217"/>
      <c r="L493" s="217"/>
    </row>
    <row r="494">
      <c r="J494" s="217"/>
      <c r="K494" s="217"/>
      <c r="L494" s="217"/>
    </row>
    <row r="495">
      <c r="J495" s="217"/>
      <c r="K495" s="217"/>
      <c r="L495" s="217"/>
    </row>
    <row r="496">
      <c r="J496" s="217"/>
      <c r="K496" s="217"/>
      <c r="L496" s="217"/>
    </row>
    <row r="497">
      <c r="J497" s="217"/>
      <c r="K497" s="217"/>
      <c r="L497" s="217"/>
    </row>
    <row r="498">
      <c r="J498" s="217"/>
      <c r="K498" s="217"/>
      <c r="L498" s="217"/>
    </row>
    <row r="499">
      <c r="J499" s="217"/>
      <c r="K499" s="217"/>
      <c r="L499" s="217"/>
    </row>
    <row r="500">
      <c r="J500" s="217"/>
      <c r="K500" s="217"/>
      <c r="L500" s="217"/>
    </row>
    <row r="501">
      <c r="J501" s="217"/>
      <c r="K501" s="217"/>
      <c r="L501" s="217"/>
    </row>
    <row r="502">
      <c r="J502" s="217"/>
      <c r="K502" s="217"/>
      <c r="L502" s="217"/>
    </row>
    <row r="503">
      <c r="J503" s="217"/>
      <c r="K503" s="217"/>
      <c r="L503" s="217"/>
    </row>
    <row r="504">
      <c r="J504" s="217"/>
      <c r="K504" s="217"/>
      <c r="L504" s="217"/>
    </row>
    <row r="505">
      <c r="J505" s="217"/>
      <c r="K505" s="217"/>
      <c r="L505" s="217"/>
    </row>
    <row r="506">
      <c r="J506" s="217"/>
      <c r="K506" s="217"/>
      <c r="L506" s="217"/>
    </row>
    <row r="507">
      <c r="J507" s="217"/>
      <c r="K507" s="217"/>
      <c r="L507" s="217"/>
    </row>
    <row r="508">
      <c r="J508" s="217"/>
      <c r="K508" s="217"/>
      <c r="L508" s="217"/>
    </row>
    <row r="509">
      <c r="J509" s="217"/>
      <c r="K509" s="217"/>
      <c r="L509" s="217"/>
    </row>
    <row r="510">
      <c r="J510" s="217"/>
      <c r="K510" s="217"/>
      <c r="L510" s="217"/>
    </row>
    <row r="511">
      <c r="J511" s="217"/>
      <c r="K511" s="217"/>
      <c r="L511" s="217"/>
    </row>
    <row r="512">
      <c r="J512" s="217"/>
      <c r="K512" s="217"/>
      <c r="L512" s="217"/>
    </row>
    <row r="513">
      <c r="J513" s="217"/>
      <c r="K513" s="217"/>
      <c r="L513" s="217"/>
    </row>
    <row r="514">
      <c r="J514" s="217"/>
      <c r="K514" s="217"/>
      <c r="L514" s="217"/>
    </row>
    <row r="515">
      <c r="J515" s="217"/>
      <c r="K515" s="217"/>
      <c r="L515" s="217"/>
    </row>
    <row r="516">
      <c r="J516" s="217"/>
      <c r="K516" s="217"/>
      <c r="L516" s="217"/>
    </row>
    <row r="517">
      <c r="J517" s="217"/>
      <c r="K517" s="217"/>
      <c r="L517" s="217"/>
    </row>
    <row r="518">
      <c r="J518" s="217"/>
      <c r="K518" s="217"/>
      <c r="L518" s="217"/>
    </row>
    <row r="519">
      <c r="J519" s="217"/>
      <c r="K519" s="217"/>
      <c r="L519" s="217"/>
    </row>
    <row r="520">
      <c r="J520" s="217"/>
      <c r="K520" s="217"/>
      <c r="L520" s="217"/>
    </row>
    <row r="521">
      <c r="J521" s="217"/>
      <c r="K521" s="217"/>
      <c r="L521" s="217"/>
    </row>
    <row r="522">
      <c r="J522" s="217"/>
      <c r="K522" s="217"/>
      <c r="L522" s="217"/>
    </row>
    <row r="523">
      <c r="J523" s="217"/>
      <c r="K523" s="217"/>
      <c r="L523" s="217"/>
    </row>
    <row r="524">
      <c r="J524" s="217"/>
      <c r="K524" s="217"/>
      <c r="L524" s="217"/>
    </row>
    <row r="525">
      <c r="J525" s="217"/>
      <c r="K525" s="217"/>
      <c r="L525" s="217"/>
    </row>
    <row r="526">
      <c r="J526" s="217"/>
      <c r="K526" s="217"/>
      <c r="L526" s="217"/>
    </row>
    <row r="527">
      <c r="J527" s="217"/>
      <c r="K527" s="217"/>
      <c r="L527" s="217"/>
    </row>
    <row r="528">
      <c r="J528" s="217"/>
      <c r="K528" s="217"/>
      <c r="L528" s="217"/>
    </row>
    <row r="529">
      <c r="J529" s="217"/>
      <c r="K529" s="217"/>
      <c r="L529" s="217"/>
    </row>
    <row r="530">
      <c r="J530" s="217"/>
      <c r="K530" s="217"/>
      <c r="L530" s="217"/>
    </row>
    <row r="531">
      <c r="J531" s="217"/>
      <c r="K531" s="217"/>
      <c r="L531" s="217"/>
    </row>
    <row r="532">
      <c r="J532" s="217"/>
      <c r="K532" s="217"/>
      <c r="L532" s="217"/>
    </row>
    <row r="533">
      <c r="J533" s="217"/>
      <c r="K533" s="217"/>
      <c r="L533" s="217"/>
    </row>
    <row r="534">
      <c r="J534" s="217"/>
      <c r="K534" s="217"/>
      <c r="L534" s="217"/>
    </row>
    <row r="535">
      <c r="J535" s="217"/>
      <c r="K535" s="217"/>
      <c r="L535" s="217"/>
    </row>
    <row r="536">
      <c r="J536" s="217"/>
      <c r="K536" s="217"/>
      <c r="L536" s="217"/>
    </row>
    <row r="537">
      <c r="J537" s="217"/>
      <c r="K537" s="217"/>
      <c r="L537" s="217"/>
    </row>
    <row r="538">
      <c r="J538" s="217"/>
      <c r="K538" s="217"/>
      <c r="L538" s="217"/>
    </row>
    <row r="539">
      <c r="J539" s="217"/>
      <c r="K539" s="217"/>
      <c r="L539" s="217"/>
    </row>
    <row r="540">
      <c r="J540" s="217"/>
      <c r="K540" s="217"/>
      <c r="L540" s="217"/>
    </row>
    <row r="541">
      <c r="J541" s="217"/>
      <c r="K541" s="217"/>
      <c r="L541" s="217"/>
    </row>
    <row r="542">
      <c r="J542" s="217"/>
      <c r="K542" s="217"/>
      <c r="L542" s="217"/>
    </row>
    <row r="543">
      <c r="J543" s="217"/>
      <c r="K543" s="217"/>
      <c r="L543" s="217"/>
    </row>
    <row r="544">
      <c r="J544" s="217"/>
      <c r="K544" s="217"/>
      <c r="L544" s="217"/>
    </row>
    <row r="545">
      <c r="J545" s="217"/>
      <c r="K545" s="217"/>
      <c r="L545" s="217"/>
    </row>
    <row r="546">
      <c r="J546" s="217"/>
      <c r="K546" s="217"/>
      <c r="L546" s="217"/>
    </row>
    <row r="547">
      <c r="J547" s="217"/>
      <c r="K547" s="217"/>
      <c r="L547" s="217"/>
    </row>
    <row r="548">
      <c r="J548" s="217"/>
      <c r="K548" s="217"/>
      <c r="L548" s="217"/>
    </row>
    <row r="549">
      <c r="J549" s="217"/>
      <c r="K549" s="217"/>
      <c r="L549" s="217"/>
    </row>
    <row r="550">
      <c r="J550" s="217"/>
      <c r="K550" s="217"/>
      <c r="L550" s="217"/>
    </row>
    <row r="551">
      <c r="J551" s="217"/>
      <c r="K551" s="217"/>
      <c r="L551" s="217"/>
    </row>
    <row r="552">
      <c r="J552" s="217"/>
      <c r="K552" s="217"/>
      <c r="L552" s="217"/>
    </row>
    <row r="553">
      <c r="J553" s="217"/>
      <c r="K553" s="217"/>
      <c r="L553" s="217"/>
    </row>
    <row r="554">
      <c r="J554" s="217"/>
      <c r="K554" s="217"/>
      <c r="L554" s="217"/>
    </row>
    <row r="555">
      <c r="J555" s="217"/>
      <c r="K555" s="217"/>
      <c r="L555" s="217"/>
    </row>
    <row r="556">
      <c r="J556" s="217"/>
      <c r="K556" s="217"/>
      <c r="L556" s="217"/>
    </row>
    <row r="557">
      <c r="J557" s="217"/>
      <c r="K557" s="217"/>
      <c r="L557" s="217"/>
    </row>
    <row r="558">
      <c r="J558" s="217"/>
      <c r="K558" s="217"/>
      <c r="L558" s="217"/>
    </row>
    <row r="559">
      <c r="J559" s="217"/>
      <c r="K559" s="217"/>
      <c r="L559" s="217"/>
    </row>
    <row r="560">
      <c r="J560" s="217"/>
      <c r="K560" s="217"/>
      <c r="L560" s="217"/>
    </row>
    <row r="561">
      <c r="J561" s="217"/>
      <c r="K561" s="217"/>
      <c r="L561" s="217"/>
    </row>
    <row r="562">
      <c r="J562" s="217"/>
      <c r="K562" s="217"/>
      <c r="L562" s="217"/>
    </row>
    <row r="563">
      <c r="J563" s="217"/>
      <c r="K563" s="217"/>
      <c r="L563" s="217"/>
    </row>
    <row r="564">
      <c r="J564" s="217"/>
      <c r="K564" s="217"/>
      <c r="L564" s="217"/>
    </row>
    <row r="565">
      <c r="J565" s="217"/>
      <c r="K565" s="217"/>
      <c r="L565" s="217"/>
    </row>
    <row r="566">
      <c r="J566" s="217"/>
      <c r="K566" s="217"/>
      <c r="L566" s="217"/>
    </row>
    <row r="567">
      <c r="J567" s="217"/>
      <c r="K567" s="217"/>
      <c r="L567" s="217"/>
    </row>
    <row r="568">
      <c r="J568" s="217"/>
      <c r="K568" s="217"/>
      <c r="L568" s="217"/>
    </row>
    <row r="569">
      <c r="J569" s="217"/>
      <c r="K569" s="217"/>
      <c r="L569" s="217"/>
    </row>
    <row r="570">
      <c r="J570" s="217"/>
      <c r="K570" s="217"/>
      <c r="L570" s="217"/>
    </row>
    <row r="571">
      <c r="J571" s="217"/>
      <c r="K571" s="217"/>
      <c r="L571" s="217"/>
    </row>
    <row r="572">
      <c r="J572" s="217"/>
      <c r="K572" s="217"/>
      <c r="L572" s="217"/>
    </row>
    <row r="573">
      <c r="J573" s="217"/>
      <c r="K573" s="217"/>
      <c r="L573" s="217"/>
    </row>
    <row r="574">
      <c r="J574" s="217"/>
      <c r="K574" s="217"/>
      <c r="L574" s="217"/>
    </row>
    <row r="575">
      <c r="J575" s="217"/>
      <c r="K575" s="217"/>
      <c r="L575" s="217"/>
    </row>
    <row r="576">
      <c r="J576" s="217"/>
      <c r="K576" s="217"/>
      <c r="L576" s="217"/>
    </row>
    <row r="577">
      <c r="J577" s="217"/>
      <c r="K577" s="217"/>
      <c r="L577" s="217"/>
    </row>
    <row r="578">
      <c r="J578" s="217"/>
      <c r="K578" s="217"/>
      <c r="L578" s="217"/>
    </row>
    <row r="579">
      <c r="J579" s="217"/>
      <c r="K579" s="217"/>
      <c r="L579" s="217"/>
    </row>
    <row r="580">
      <c r="J580" s="217"/>
      <c r="K580" s="217"/>
      <c r="L580" s="217"/>
    </row>
    <row r="581">
      <c r="J581" s="217"/>
      <c r="K581" s="217"/>
      <c r="L581" s="217"/>
    </row>
    <row r="582">
      <c r="J582" s="217"/>
      <c r="K582" s="217"/>
      <c r="L582" s="217"/>
    </row>
    <row r="583">
      <c r="J583" s="217"/>
      <c r="K583" s="217"/>
      <c r="L583" s="217"/>
    </row>
    <row r="584">
      <c r="J584" s="217"/>
      <c r="K584" s="217"/>
      <c r="L584" s="217"/>
    </row>
    <row r="585">
      <c r="J585" s="217"/>
      <c r="K585" s="217"/>
      <c r="L585" s="217"/>
    </row>
    <row r="586">
      <c r="J586" s="217"/>
      <c r="K586" s="217"/>
      <c r="L586" s="217"/>
    </row>
    <row r="587">
      <c r="J587" s="217"/>
      <c r="K587" s="217"/>
      <c r="L587" s="217"/>
    </row>
    <row r="588">
      <c r="J588" s="217"/>
      <c r="K588" s="217"/>
      <c r="L588" s="217"/>
    </row>
    <row r="589">
      <c r="J589" s="217"/>
      <c r="K589" s="217"/>
      <c r="L589" s="217"/>
    </row>
    <row r="590">
      <c r="J590" s="217"/>
      <c r="K590" s="217"/>
      <c r="L590" s="217"/>
    </row>
    <row r="591">
      <c r="J591" s="217"/>
      <c r="K591" s="217"/>
      <c r="L591" s="217"/>
    </row>
    <row r="592">
      <c r="J592" s="217"/>
      <c r="K592" s="217"/>
      <c r="L592" s="217"/>
    </row>
    <row r="593">
      <c r="J593" s="217"/>
      <c r="K593" s="217"/>
      <c r="L593" s="217"/>
    </row>
    <row r="594">
      <c r="J594" s="217"/>
      <c r="K594" s="217"/>
      <c r="L594" s="217"/>
    </row>
    <row r="595">
      <c r="J595" s="217"/>
      <c r="K595" s="217"/>
      <c r="L595" s="217"/>
    </row>
    <row r="596">
      <c r="J596" s="217"/>
      <c r="K596" s="217"/>
      <c r="L596" s="217"/>
    </row>
    <row r="597">
      <c r="J597" s="217"/>
      <c r="K597" s="217"/>
      <c r="L597" s="217"/>
    </row>
    <row r="598">
      <c r="J598" s="217"/>
      <c r="K598" s="217"/>
      <c r="L598" s="217"/>
    </row>
    <row r="599">
      <c r="J599" s="217"/>
      <c r="K599" s="217"/>
      <c r="L599" s="217"/>
    </row>
    <row r="600">
      <c r="J600" s="217"/>
      <c r="K600" s="217"/>
      <c r="L600" s="217"/>
    </row>
    <row r="601">
      <c r="J601" s="217"/>
      <c r="K601" s="217"/>
      <c r="L601" s="217"/>
    </row>
    <row r="602">
      <c r="J602" s="217"/>
      <c r="K602" s="217"/>
      <c r="L602" s="217"/>
    </row>
    <row r="603">
      <c r="J603" s="217"/>
      <c r="K603" s="217"/>
      <c r="L603" s="217"/>
    </row>
    <row r="604">
      <c r="J604" s="217"/>
      <c r="K604" s="217"/>
      <c r="L604" s="217"/>
    </row>
    <row r="605">
      <c r="J605" s="217"/>
      <c r="K605" s="217"/>
      <c r="L605" s="217"/>
    </row>
    <row r="606">
      <c r="J606" s="217"/>
      <c r="K606" s="217"/>
      <c r="L606" s="217"/>
    </row>
    <row r="607">
      <c r="J607" s="217"/>
      <c r="K607" s="217"/>
      <c r="L607" s="217"/>
    </row>
    <row r="608">
      <c r="J608" s="217"/>
      <c r="K608" s="217"/>
      <c r="L608" s="217"/>
    </row>
    <row r="609">
      <c r="J609" s="217"/>
      <c r="K609" s="217"/>
      <c r="L609" s="217"/>
    </row>
    <row r="610">
      <c r="J610" s="217"/>
      <c r="K610" s="217"/>
      <c r="L610" s="217"/>
    </row>
    <row r="611">
      <c r="J611" s="217"/>
      <c r="K611" s="217"/>
      <c r="L611" s="217"/>
    </row>
    <row r="612">
      <c r="J612" s="217"/>
      <c r="K612" s="217"/>
      <c r="L612" s="217"/>
    </row>
    <row r="613">
      <c r="J613" s="217"/>
      <c r="K613" s="217"/>
      <c r="L613" s="217"/>
    </row>
    <row r="614">
      <c r="J614" s="217"/>
      <c r="K614" s="217"/>
      <c r="L614" s="217"/>
    </row>
    <row r="615">
      <c r="J615" s="217"/>
      <c r="K615" s="217"/>
      <c r="L615" s="217"/>
    </row>
    <row r="616">
      <c r="J616" s="217"/>
      <c r="K616" s="217"/>
      <c r="L616" s="217"/>
    </row>
    <row r="617">
      <c r="J617" s="217"/>
      <c r="K617" s="217"/>
      <c r="L617" s="217"/>
    </row>
    <row r="618">
      <c r="J618" s="217"/>
      <c r="K618" s="217"/>
      <c r="L618" s="217"/>
    </row>
    <row r="619">
      <c r="J619" s="217"/>
      <c r="K619" s="217"/>
      <c r="L619" s="217"/>
    </row>
    <row r="620">
      <c r="J620" s="217"/>
      <c r="K620" s="217"/>
      <c r="L620" s="217"/>
    </row>
    <row r="621">
      <c r="J621" s="217"/>
      <c r="K621" s="217"/>
      <c r="L621" s="217"/>
    </row>
    <row r="622">
      <c r="J622" s="217"/>
      <c r="K622" s="217"/>
      <c r="L622" s="217"/>
    </row>
    <row r="623">
      <c r="J623" s="217"/>
      <c r="K623" s="217"/>
      <c r="L623" s="217"/>
    </row>
    <row r="624">
      <c r="J624" s="217"/>
      <c r="K624" s="217"/>
      <c r="L624" s="217"/>
    </row>
    <row r="625">
      <c r="J625" s="217"/>
      <c r="K625" s="217"/>
      <c r="L625" s="217"/>
    </row>
    <row r="626">
      <c r="J626" s="217"/>
      <c r="K626" s="217"/>
      <c r="L626" s="217"/>
    </row>
    <row r="627">
      <c r="J627" s="217"/>
      <c r="K627" s="217"/>
      <c r="L627" s="217"/>
    </row>
    <row r="628">
      <c r="J628" s="217"/>
      <c r="K628" s="217"/>
      <c r="L628" s="217"/>
    </row>
    <row r="629">
      <c r="J629" s="217"/>
      <c r="K629" s="217"/>
      <c r="L629" s="217"/>
    </row>
    <row r="630">
      <c r="J630" s="217"/>
      <c r="K630" s="217"/>
      <c r="L630" s="217"/>
    </row>
    <row r="631">
      <c r="J631" s="217"/>
      <c r="K631" s="217"/>
      <c r="L631" s="217"/>
    </row>
    <row r="632">
      <c r="J632" s="217"/>
      <c r="K632" s="217"/>
      <c r="L632" s="217"/>
    </row>
    <row r="633">
      <c r="J633" s="217"/>
      <c r="K633" s="217"/>
      <c r="L633" s="217"/>
    </row>
    <row r="634">
      <c r="J634" s="217"/>
      <c r="K634" s="217"/>
      <c r="L634" s="217"/>
    </row>
    <row r="635">
      <c r="J635" s="217"/>
      <c r="K635" s="217"/>
      <c r="L635" s="217"/>
    </row>
    <row r="636">
      <c r="J636" s="217"/>
      <c r="K636" s="217"/>
      <c r="L636" s="217"/>
    </row>
    <row r="637">
      <c r="J637" s="217"/>
      <c r="K637" s="217"/>
      <c r="L637" s="217"/>
    </row>
    <row r="638">
      <c r="J638" s="217"/>
      <c r="K638" s="217"/>
      <c r="L638" s="217"/>
    </row>
    <row r="639">
      <c r="J639" s="217"/>
      <c r="K639" s="217"/>
      <c r="L639" s="217"/>
    </row>
    <row r="640">
      <c r="J640" s="217"/>
      <c r="K640" s="217"/>
      <c r="L640" s="217"/>
    </row>
    <row r="641">
      <c r="J641" s="217"/>
      <c r="K641" s="217"/>
      <c r="L641" s="217"/>
    </row>
    <row r="642">
      <c r="J642" s="217"/>
      <c r="K642" s="217"/>
      <c r="L642" s="217"/>
    </row>
    <row r="643">
      <c r="J643" s="217"/>
      <c r="K643" s="217"/>
      <c r="L643" s="217"/>
    </row>
    <row r="644">
      <c r="J644" s="217"/>
      <c r="K644" s="217"/>
      <c r="L644" s="217"/>
    </row>
    <row r="645">
      <c r="J645" s="217"/>
      <c r="K645" s="217"/>
      <c r="L645" s="217"/>
    </row>
    <row r="646">
      <c r="J646" s="217"/>
      <c r="K646" s="217"/>
      <c r="L646" s="217"/>
    </row>
    <row r="647">
      <c r="J647" s="217"/>
      <c r="K647" s="217"/>
      <c r="L647" s="217"/>
    </row>
    <row r="648">
      <c r="J648" s="217"/>
      <c r="K648" s="217"/>
      <c r="L648" s="217"/>
    </row>
    <row r="649">
      <c r="J649" s="217"/>
      <c r="K649" s="217"/>
      <c r="L649" s="217"/>
    </row>
    <row r="650">
      <c r="J650" s="217"/>
      <c r="K650" s="217"/>
      <c r="L650" s="217"/>
    </row>
    <row r="651">
      <c r="J651" s="217"/>
      <c r="K651" s="217"/>
      <c r="L651" s="217"/>
    </row>
    <row r="652">
      <c r="J652" s="217"/>
      <c r="K652" s="217"/>
      <c r="L652" s="217"/>
    </row>
    <row r="653">
      <c r="J653" s="217"/>
      <c r="K653" s="217"/>
      <c r="L653" s="217"/>
    </row>
    <row r="654">
      <c r="J654" s="217"/>
      <c r="K654" s="217"/>
      <c r="L654" s="217"/>
    </row>
    <row r="655">
      <c r="J655" s="217"/>
      <c r="K655" s="217"/>
      <c r="L655" s="217"/>
    </row>
    <row r="656">
      <c r="J656" s="217"/>
      <c r="K656" s="217"/>
      <c r="L656" s="217"/>
    </row>
    <row r="657">
      <c r="J657" s="217"/>
      <c r="K657" s="217"/>
      <c r="L657" s="217"/>
    </row>
    <row r="658">
      <c r="J658" s="217"/>
      <c r="K658" s="217"/>
      <c r="L658" s="217"/>
    </row>
    <row r="659">
      <c r="J659" s="217"/>
      <c r="K659" s="217"/>
      <c r="L659" s="217"/>
    </row>
    <row r="660">
      <c r="J660" s="217"/>
      <c r="K660" s="217"/>
      <c r="L660" s="217"/>
    </row>
    <row r="661">
      <c r="J661" s="217"/>
      <c r="K661" s="217"/>
      <c r="L661" s="217"/>
    </row>
    <row r="662">
      <c r="J662" s="217"/>
      <c r="K662" s="217"/>
      <c r="L662" s="217"/>
    </row>
    <row r="663">
      <c r="J663" s="217"/>
      <c r="K663" s="217"/>
      <c r="L663" s="217"/>
    </row>
    <row r="664">
      <c r="J664" s="217"/>
      <c r="K664" s="217"/>
      <c r="L664" s="217"/>
    </row>
    <row r="665">
      <c r="J665" s="217"/>
      <c r="K665" s="217"/>
      <c r="L665" s="217"/>
    </row>
    <row r="666">
      <c r="J666" s="217"/>
      <c r="K666" s="217"/>
      <c r="L666" s="217"/>
    </row>
    <row r="667">
      <c r="J667" s="217"/>
      <c r="K667" s="217"/>
      <c r="L667" s="217"/>
    </row>
    <row r="668">
      <c r="J668" s="217"/>
      <c r="K668" s="217"/>
      <c r="L668" s="217"/>
    </row>
    <row r="669">
      <c r="J669" s="217"/>
      <c r="K669" s="217"/>
      <c r="L669" s="217"/>
    </row>
    <row r="670">
      <c r="J670" s="217"/>
      <c r="K670" s="217"/>
      <c r="L670" s="217"/>
    </row>
    <row r="671">
      <c r="J671" s="217"/>
      <c r="K671" s="217"/>
      <c r="L671" s="217"/>
    </row>
    <row r="672">
      <c r="J672" s="217"/>
      <c r="K672" s="217"/>
      <c r="L672" s="217"/>
    </row>
    <row r="673">
      <c r="J673" s="217"/>
      <c r="K673" s="217"/>
      <c r="L673" s="217"/>
    </row>
    <row r="674">
      <c r="J674" s="217"/>
      <c r="K674" s="217"/>
      <c r="L674" s="217"/>
    </row>
    <row r="675">
      <c r="J675" s="217"/>
      <c r="K675" s="217"/>
      <c r="L675" s="217"/>
    </row>
    <row r="676">
      <c r="J676" s="217"/>
      <c r="K676" s="217"/>
      <c r="L676" s="217"/>
    </row>
    <row r="677">
      <c r="J677" s="217"/>
      <c r="K677" s="217"/>
      <c r="L677" s="217"/>
    </row>
    <row r="678">
      <c r="J678" s="217"/>
      <c r="K678" s="217"/>
      <c r="L678" s="217"/>
    </row>
    <row r="679">
      <c r="J679" s="217"/>
      <c r="K679" s="217"/>
      <c r="L679" s="217"/>
    </row>
    <row r="680">
      <c r="J680" s="217"/>
      <c r="K680" s="217"/>
      <c r="L680" s="217"/>
    </row>
    <row r="681">
      <c r="J681" s="217"/>
      <c r="K681" s="217"/>
      <c r="L681" s="217"/>
    </row>
    <row r="682">
      <c r="J682" s="217"/>
      <c r="K682" s="217"/>
      <c r="L682" s="217"/>
    </row>
    <row r="683">
      <c r="J683" s="217"/>
      <c r="K683" s="217"/>
      <c r="L683" s="217"/>
    </row>
    <row r="684">
      <c r="J684" s="217"/>
      <c r="K684" s="217"/>
      <c r="L684" s="217"/>
    </row>
    <row r="685">
      <c r="J685" s="217"/>
      <c r="K685" s="217"/>
      <c r="L685" s="217"/>
    </row>
    <row r="686">
      <c r="J686" s="217"/>
      <c r="K686" s="217"/>
      <c r="L686" s="217"/>
    </row>
    <row r="687">
      <c r="J687" s="217"/>
      <c r="K687" s="217"/>
      <c r="L687" s="217"/>
    </row>
    <row r="688">
      <c r="J688" s="217"/>
      <c r="K688" s="217"/>
      <c r="L688" s="217"/>
    </row>
    <row r="689">
      <c r="J689" s="217"/>
      <c r="K689" s="217"/>
      <c r="L689" s="217"/>
    </row>
    <row r="690">
      <c r="J690" s="217"/>
      <c r="K690" s="217"/>
      <c r="L690" s="217"/>
    </row>
    <row r="691">
      <c r="J691" s="217"/>
      <c r="K691" s="217"/>
      <c r="L691" s="217"/>
    </row>
    <row r="692">
      <c r="J692" s="217"/>
      <c r="K692" s="217"/>
      <c r="L692" s="217"/>
    </row>
    <row r="693">
      <c r="J693" s="217"/>
      <c r="K693" s="217"/>
      <c r="L693" s="217"/>
    </row>
    <row r="694">
      <c r="J694" s="217"/>
      <c r="K694" s="217"/>
      <c r="L694" s="217"/>
    </row>
    <row r="695">
      <c r="J695" s="217"/>
      <c r="K695" s="217"/>
      <c r="L695" s="217"/>
    </row>
    <row r="696">
      <c r="J696" s="217"/>
      <c r="K696" s="217"/>
      <c r="L696" s="217"/>
    </row>
    <row r="697">
      <c r="J697" s="217"/>
      <c r="K697" s="217"/>
      <c r="L697" s="217"/>
    </row>
    <row r="698">
      <c r="J698" s="217"/>
      <c r="K698" s="217"/>
      <c r="L698" s="217"/>
    </row>
    <row r="699">
      <c r="J699" s="217"/>
      <c r="K699" s="217"/>
      <c r="L699" s="217"/>
    </row>
    <row r="700">
      <c r="J700" s="217"/>
      <c r="K700" s="217"/>
      <c r="L700" s="217"/>
    </row>
    <row r="701">
      <c r="J701" s="217"/>
      <c r="K701" s="217"/>
      <c r="L701" s="217"/>
    </row>
    <row r="702">
      <c r="J702" s="217"/>
      <c r="K702" s="217"/>
      <c r="L702" s="217"/>
    </row>
    <row r="703">
      <c r="J703" s="217"/>
      <c r="K703" s="217"/>
      <c r="L703" s="217"/>
    </row>
    <row r="704">
      <c r="J704" s="217"/>
      <c r="K704" s="217"/>
      <c r="L704" s="217"/>
    </row>
    <row r="705">
      <c r="J705" s="217"/>
      <c r="K705" s="217"/>
      <c r="L705" s="217"/>
    </row>
    <row r="706">
      <c r="J706" s="217"/>
      <c r="K706" s="217"/>
      <c r="L706" s="217"/>
    </row>
    <row r="707">
      <c r="J707" s="217"/>
      <c r="K707" s="217"/>
      <c r="L707" s="217"/>
    </row>
    <row r="708">
      <c r="J708" s="217"/>
      <c r="K708" s="217"/>
      <c r="L708" s="217"/>
    </row>
    <row r="709">
      <c r="J709" s="217"/>
      <c r="K709" s="217"/>
      <c r="L709" s="217"/>
    </row>
    <row r="710">
      <c r="J710" s="217"/>
      <c r="K710" s="217"/>
      <c r="L710" s="217"/>
    </row>
    <row r="711">
      <c r="J711" s="217"/>
      <c r="K711" s="217"/>
      <c r="L711" s="217"/>
    </row>
    <row r="712">
      <c r="J712" s="217"/>
      <c r="K712" s="217"/>
      <c r="L712" s="217"/>
    </row>
    <row r="713">
      <c r="J713" s="217"/>
      <c r="K713" s="217"/>
      <c r="L713" s="217"/>
    </row>
    <row r="714">
      <c r="J714" s="217"/>
      <c r="K714" s="217"/>
      <c r="L714" s="217"/>
    </row>
    <row r="715">
      <c r="J715" s="217"/>
      <c r="K715" s="217"/>
      <c r="L715" s="217"/>
    </row>
    <row r="716">
      <c r="J716" s="217"/>
      <c r="K716" s="217"/>
      <c r="L716" s="217"/>
    </row>
    <row r="717">
      <c r="J717" s="217"/>
      <c r="K717" s="217"/>
      <c r="L717" s="217"/>
    </row>
    <row r="718">
      <c r="J718" s="217"/>
      <c r="K718" s="217"/>
      <c r="L718" s="217"/>
    </row>
    <row r="719">
      <c r="J719" s="217"/>
      <c r="K719" s="217"/>
      <c r="L719" s="217"/>
    </row>
    <row r="720">
      <c r="J720" s="217"/>
      <c r="K720" s="217"/>
      <c r="L720" s="217"/>
    </row>
    <row r="721">
      <c r="J721" s="217"/>
      <c r="K721" s="217"/>
      <c r="L721" s="217"/>
    </row>
    <row r="722">
      <c r="J722" s="217"/>
      <c r="K722" s="217"/>
      <c r="L722" s="217"/>
    </row>
    <row r="723">
      <c r="J723" s="217"/>
      <c r="K723" s="217"/>
      <c r="L723" s="217"/>
    </row>
    <row r="724">
      <c r="J724" s="217"/>
      <c r="K724" s="217"/>
      <c r="L724" s="217"/>
    </row>
    <row r="725">
      <c r="J725" s="217"/>
      <c r="K725" s="217"/>
      <c r="L725" s="217"/>
    </row>
    <row r="726">
      <c r="J726" s="217"/>
      <c r="K726" s="217"/>
      <c r="L726" s="217"/>
    </row>
    <row r="727">
      <c r="J727" s="217"/>
      <c r="K727" s="217"/>
      <c r="L727" s="217"/>
    </row>
    <row r="728">
      <c r="J728" s="217"/>
      <c r="K728" s="217"/>
      <c r="L728" s="217"/>
    </row>
    <row r="729">
      <c r="J729" s="217"/>
      <c r="K729" s="217"/>
      <c r="L729" s="217"/>
    </row>
    <row r="730">
      <c r="J730" s="217"/>
      <c r="K730" s="217"/>
      <c r="L730" s="217"/>
    </row>
    <row r="731">
      <c r="J731" s="217"/>
      <c r="K731" s="217"/>
      <c r="L731" s="217"/>
    </row>
    <row r="732">
      <c r="J732" s="217"/>
      <c r="K732" s="217"/>
      <c r="L732" s="217"/>
    </row>
    <row r="733">
      <c r="J733" s="217"/>
      <c r="K733" s="217"/>
      <c r="L733" s="217"/>
    </row>
    <row r="734">
      <c r="J734" s="217"/>
      <c r="K734" s="217"/>
      <c r="L734" s="217"/>
    </row>
    <row r="735">
      <c r="J735" s="217"/>
      <c r="K735" s="217"/>
      <c r="L735" s="217"/>
    </row>
    <row r="736">
      <c r="J736" s="217"/>
      <c r="K736" s="217"/>
      <c r="L736" s="217"/>
    </row>
    <row r="737">
      <c r="J737" s="217"/>
      <c r="K737" s="217"/>
      <c r="L737" s="217"/>
    </row>
    <row r="738">
      <c r="J738" s="217"/>
      <c r="K738" s="217"/>
      <c r="L738" s="217"/>
    </row>
    <row r="739">
      <c r="J739" s="217"/>
      <c r="K739" s="217"/>
      <c r="L739" s="217"/>
    </row>
    <row r="740">
      <c r="J740" s="217"/>
      <c r="K740" s="217"/>
      <c r="L740" s="217"/>
    </row>
    <row r="741">
      <c r="J741" s="217"/>
      <c r="K741" s="217"/>
      <c r="L741" s="217"/>
    </row>
    <row r="742">
      <c r="J742" s="217"/>
      <c r="K742" s="217"/>
      <c r="L742" s="217"/>
    </row>
    <row r="743">
      <c r="J743" s="217"/>
      <c r="K743" s="217"/>
      <c r="L743" s="217"/>
    </row>
    <row r="744">
      <c r="J744" s="217"/>
      <c r="K744" s="217"/>
      <c r="L744" s="217"/>
    </row>
    <row r="745">
      <c r="J745" s="217"/>
      <c r="K745" s="217"/>
      <c r="L745" s="217"/>
    </row>
    <row r="746">
      <c r="J746" s="217"/>
      <c r="K746" s="217"/>
      <c r="L746" s="217"/>
    </row>
    <row r="747">
      <c r="J747" s="217"/>
      <c r="K747" s="217"/>
      <c r="L747" s="217"/>
    </row>
    <row r="748">
      <c r="J748" s="217"/>
      <c r="K748" s="217"/>
      <c r="L748" s="217"/>
    </row>
    <row r="749">
      <c r="J749" s="217"/>
      <c r="K749" s="217"/>
      <c r="L749" s="217"/>
    </row>
    <row r="750">
      <c r="J750" s="217"/>
      <c r="K750" s="217"/>
      <c r="L750" s="217"/>
    </row>
    <row r="751">
      <c r="J751" s="217"/>
      <c r="K751" s="217"/>
      <c r="L751" s="217"/>
    </row>
    <row r="752">
      <c r="J752" s="217"/>
      <c r="K752" s="217"/>
      <c r="L752" s="217"/>
    </row>
    <row r="753">
      <c r="J753" s="217"/>
      <c r="K753" s="217"/>
      <c r="L753" s="217"/>
    </row>
    <row r="754">
      <c r="J754" s="217"/>
      <c r="K754" s="217"/>
      <c r="L754" s="217"/>
    </row>
    <row r="755">
      <c r="J755" s="217"/>
      <c r="K755" s="217"/>
      <c r="L755" s="217"/>
    </row>
    <row r="756">
      <c r="J756" s="217"/>
      <c r="K756" s="217"/>
      <c r="L756" s="217"/>
    </row>
    <row r="757">
      <c r="J757" s="217"/>
      <c r="K757" s="217"/>
      <c r="L757" s="217"/>
    </row>
    <row r="758">
      <c r="J758" s="217"/>
      <c r="K758" s="217"/>
      <c r="L758" s="217"/>
    </row>
    <row r="759">
      <c r="J759" s="217"/>
      <c r="K759" s="217"/>
      <c r="L759" s="217"/>
    </row>
    <row r="760">
      <c r="J760" s="217"/>
      <c r="K760" s="217"/>
      <c r="L760" s="217"/>
    </row>
    <row r="761">
      <c r="J761" s="217"/>
      <c r="K761" s="217"/>
      <c r="L761" s="217"/>
    </row>
    <row r="762">
      <c r="J762" s="217"/>
      <c r="K762" s="217"/>
      <c r="L762" s="217"/>
    </row>
    <row r="763">
      <c r="J763" s="217"/>
      <c r="K763" s="217"/>
      <c r="L763" s="217"/>
    </row>
    <row r="764">
      <c r="J764" s="217"/>
      <c r="K764" s="217"/>
      <c r="L764" s="217"/>
    </row>
    <row r="765">
      <c r="J765" s="217"/>
      <c r="K765" s="217"/>
      <c r="L765" s="217"/>
    </row>
    <row r="766">
      <c r="J766" s="217"/>
      <c r="K766" s="217"/>
      <c r="L766" s="217"/>
    </row>
    <row r="767">
      <c r="J767" s="217"/>
      <c r="K767" s="217"/>
      <c r="L767" s="217"/>
    </row>
    <row r="768">
      <c r="J768" s="217"/>
      <c r="K768" s="217"/>
      <c r="L768" s="217"/>
    </row>
    <row r="769">
      <c r="J769" s="217"/>
      <c r="K769" s="217"/>
      <c r="L769" s="217"/>
    </row>
    <row r="770">
      <c r="J770" s="217"/>
      <c r="K770" s="217"/>
      <c r="L770" s="217"/>
    </row>
    <row r="771">
      <c r="J771" s="217"/>
      <c r="K771" s="217"/>
      <c r="L771" s="217"/>
    </row>
    <row r="772">
      <c r="J772" s="217"/>
      <c r="K772" s="217"/>
      <c r="L772" s="217"/>
    </row>
    <row r="773">
      <c r="J773" s="217"/>
      <c r="K773" s="217"/>
      <c r="L773" s="217"/>
    </row>
    <row r="774">
      <c r="J774" s="217"/>
      <c r="K774" s="217"/>
      <c r="L774" s="217"/>
    </row>
    <row r="775">
      <c r="J775" s="217"/>
      <c r="K775" s="217"/>
      <c r="L775" s="217"/>
    </row>
    <row r="776">
      <c r="J776" s="217"/>
      <c r="K776" s="217"/>
      <c r="L776" s="217"/>
    </row>
    <row r="777">
      <c r="J777" s="217"/>
      <c r="K777" s="217"/>
      <c r="L777" s="217"/>
    </row>
    <row r="778">
      <c r="J778" s="217"/>
      <c r="K778" s="217"/>
      <c r="L778" s="217"/>
    </row>
    <row r="779">
      <c r="J779" s="217"/>
      <c r="K779" s="217"/>
      <c r="L779" s="217"/>
    </row>
    <row r="780">
      <c r="J780" s="217"/>
      <c r="K780" s="217"/>
      <c r="L780" s="217"/>
    </row>
    <row r="781">
      <c r="J781" s="217"/>
      <c r="K781" s="217"/>
      <c r="L781" s="217"/>
    </row>
    <row r="782">
      <c r="J782" s="217"/>
      <c r="K782" s="217"/>
      <c r="L782" s="217"/>
    </row>
    <row r="783">
      <c r="J783" s="217"/>
      <c r="K783" s="217"/>
      <c r="L783" s="217"/>
    </row>
    <row r="784">
      <c r="J784" s="217"/>
      <c r="K784" s="217"/>
      <c r="L784" s="217"/>
    </row>
    <row r="785">
      <c r="J785" s="217"/>
      <c r="K785" s="217"/>
      <c r="L785" s="217"/>
    </row>
    <row r="786">
      <c r="J786" s="217"/>
      <c r="K786" s="217"/>
      <c r="L786" s="217"/>
    </row>
    <row r="787">
      <c r="J787" s="217"/>
      <c r="K787" s="217"/>
      <c r="L787" s="217"/>
    </row>
    <row r="788">
      <c r="J788" s="217"/>
      <c r="K788" s="217"/>
      <c r="L788" s="217"/>
    </row>
    <row r="789">
      <c r="J789" s="217"/>
      <c r="K789" s="217"/>
      <c r="L789" s="217"/>
    </row>
    <row r="790">
      <c r="J790" s="217"/>
      <c r="K790" s="217"/>
      <c r="L790" s="217"/>
    </row>
    <row r="791">
      <c r="J791" s="217"/>
      <c r="K791" s="217"/>
      <c r="L791" s="217"/>
    </row>
    <row r="792">
      <c r="J792" s="217"/>
      <c r="K792" s="217"/>
      <c r="L792" s="217"/>
    </row>
    <row r="793">
      <c r="J793" s="217"/>
      <c r="K793" s="217"/>
      <c r="L793" s="217"/>
    </row>
    <row r="794">
      <c r="J794" s="217"/>
      <c r="K794" s="217"/>
      <c r="L794" s="217"/>
    </row>
    <row r="795">
      <c r="J795" s="217"/>
      <c r="K795" s="217"/>
      <c r="L795" s="217"/>
    </row>
    <row r="796">
      <c r="J796" s="217"/>
      <c r="K796" s="217"/>
      <c r="L796" s="217"/>
    </row>
    <row r="797">
      <c r="J797" s="217"/>
      <c r="K797" s="217"/>
      <c r="L797" s="217"/>
    </row>
    <row r="798">
      <c r="J798" s="217"/>
      <c r="K798" s="217"/>
      <c r="L798" s="217"/>
    </row>
    <row r="799">
      <c r="J799" s="217"/>
      <c r="K799" s="217"/>
      <c r="L799" s="217"/>
    </row>
    <row r="800">
      <c r="J800" s="217"/>
      <c r="K800" s="217"/>
      <c r="L800" s="217"/>
    </row>
    <row r="801">
      <c r="J801" s="217"/>
      <c r="K801" s="217"/>
      <c r="L801" s="217"/>
    </row>
    <row r="802">
      <c r="J802" s="217"/>
      <c r="K802" s="217"/>
      <c r="L802" s="217"/>
    </row>
    <row r="803">
      <c r="J803" s="217"/>
      <c r="K803" s="217"/>
      <c r="L803" s="217"/>
    </row>
    <row r="804">
      <c r="J804" s="217"/>
      <c r="K804" s="217"/>
      <c r="L804" s="217"/>
    </row>
    <row r="805">
      <c r="J805" s="217"/>
      <c r="K805" s="217"/>
      <c r="L805" s="217"/>
    </row>
    <row r="806">
      <c r="J806" s="217"/>
      <c r="K806" s="217"/>
      <c r="L806" s="217"/>
    </row>
    <row r="807">
      <c r="J807" s="217"/>
      <c r="K807" s="217"/>
      <c r="L807" s="217"/>
    </row>
    <row r="808">
      <c r="J808" s="217"/>
      <c r="K808" s="217"/>
      <c r="L808" s="217"/>
    </row>
    <row r="809">
      <c r="J809" s="217"/>
      <c r="K809" s="217"/>
      <c r="L809" s="217"/>
    </row>
    <row r="810">
      <c r="J810" s="217"/>
      <c r="K810" s="217"/>
      <c r="L810" s="217"/>
    </row>
    <row r="811">
      <c r="J811" s="217"/>
      <c r="K811" s="217"/>
      <c r="L811" s="217"/>
    </row>
    <row r="812">
      <c r="J812" s="217"/>
      <c r="K812" s="217"/>
      <c r="L812" s="217"/>
    </row>
    <row r="813">
      <c r="J813" s="217"/>
      <c r="K813" s="217"/>
      <c r="L813" s="217"/>
    </row>
    <row r="814">
      <c r="J814" s="217"/>
      <c r="K814" s="217"/>
      <c r="L814" s="217"/>
    </row>
    <row r="815">
      <c r="J815" s="217"/>
      <c r="K815" s="217"/>
      <c r="L815" s="217"/>
    </row>
    <row r="816">
      <c r="J816" s="217"/>
      <c r="K816" s="217"/>
      <c r="L816" s="217"/>
    </row>
    <row r="817">
      <c r="J817" s="217"/>
      <c r="K817" s="217"/>
      <c r="L817" s="217"/>
    </row>
    <row r="818">
      <c r="J818" s="217"/>
      <c r="K818" s="217"/>
      <c r="L818" s="217"/>
    </row>
    <row r="819">
      <c r="J819" s="217"/>
      <c r="K819" s="217"/>
      <c r="L819" s="217"/>
    </row>
    <row r="820">
      <c r="J820" s="217"/>
      <c r="K820" s="217"/>
      <c r="L820" s="217"/>
    </row>
    <row r="821">
      <c r="J821" s="217"/>
      <c r="K821" s="217"/>
      <c r="L821" s="217"/>
    </row>
    <row r="822">
      <c r="J822" s="217"/>
      <c r="K822" s="217"/>
      <c r="L822" s="217"/>
    </row>
    <row r="823">
      <c r="J823" s="217"/>
      <c r="K823" s="217"/>
      <c r="L823" s="217"/>
    </row>
    <row r="824">
      <c r="J824" s="217"/>
      <c r="K824" s="217"/>
      <c r="L824" s="217"/>
    </row>
    <row r="825">
      <c r="J825" s="217"/>
      <c r="K825" s="217"/>
      <c r="L825" s="217"/>
    </row>
    <row r="826">
      <c r="J826" s="217"/>
      <c r="K826" s="217"/>
      <c r="L826" s="217"/>
    </row>
    <row r="827">
      <c r="J827" s="217"/>
      <c r="K827" s="217"/>
      <c r="L827" s="217"/>
    </row>
    <row r="828">
      <c r="J828" s="217"/>
      <c r="K828" s="217"/>
      <c r="L828" s="217"/>
    </row>
    <row r="829">
      <c r="J829" s="217"/>
      <c r="K829" s="217"/>
      <c r="L829" s="217"/>
    </row>
    <row r="830">
      <c r="J830" s="217"/>
      <c r="K830" s="217"/>
      <c r="L830" s="217"/>
    </row>
    <row r="831">
      <c r="J831" s="217"/>
      <c r="K831" s="217"/>
      <c r="L831" s="217"/>
    </row>
    <row r="832">
      <c r="J832" s="217"/>
      <c r="K832" s="217"/>
      <c r="L832" s="217"/>
    </row>
    <row r="833">
      <c r="J833" s="217"/>
      <c r="K833" s="217"/>
      <c r="L833" s="217"/>
    </row>
    <row r="834">
      <c r="J834" s="217"/>
      <c r="K834" s="217"/>
      <c r="L834" s="217"/>
    </row>
    <row r="835">
      <c r="J835" s="217"/>
      <c r="K835" s="217"/>
      <c r="L835" s="217"/>
    </row>
    <row r="836">
      <c r="J836" s="217"/>
      <c r="K836" s="217"/>
      <c r="L836" s="217"/>
    </row>
    <row r="837">
      <c r="J837" s="217"/>
      <c r="K837" s="217"/>
      <c r="L837" s="217"/>
    </row>
    <row r="838">
      <c r="J838" s="217"/>
      <c r="K838" s="217"/>
      <c r="L838" s="217"/>
    </row>
    <row r="839">
      <c r="J839" s="217"/>
      <c r="K839" s="217"/>
      <c r="L839" s="217"/>
    </row>
    <row r="840">
      <c r="J840" s="217"/>
      <c r="K840" s="217"/>
      <c r="L840" s="217"/>
    </row>
    <row r="841">
      <c r="J841" s="217"/>
      <c r="K841" s="217"/>
      <c r="L841" s="217"/>
    </row>
    <row r="842">
      <c r="J842" s="217"/>
      <c r="K842" s="217"/>
      <c r="L842" s="217"/>
    </row>
    <row r="843">
      <c r="J843" s="217"/>
      <c r="K843" s="217"/>
      <c r="L843" s="217"/>
    </row>
    <row r="844">
      <c r="J844" s="217"/>
      <c r="K844" s="217"/>
      <c r="L844" s="217"/>
    </row>
    <row r="845">
      <c r="J845" s="217"/>
      <c r="K845" s="217"/>
      <c r="L845" s="217"/>
    </row>
    <row r="846">
      <c r="J846" s="217"/>
      <c r="K846" s="217"/>
      <c r="L846" s="217"/>
    </row>
    <row r="847">
      <c r="J847" s="217"/>
      <c r="K847" s="217"/>
      <c r="L847" s="217"/>
    </row>
    <row r="848">
      <c r="J848" s="217"/>
      <c r="K848" s="217"/>
      <c r="L848" s="217"/>
    </row>
    <row r="849">
      <c r="J849" s="217"/>
      <c r="K849" s="217"/>
      <c r="L849" s="217"/>
    </row>
    <row r="850">
      <c r="J850" s="217"/>
      <c r="K850" s="217"/>
      <c r="L850" s="217"/>
    </row>
    <row r="851">
      <c r="J851" s="217"/>
      <c r="K851" s="217"/>
      <c r="L851" s="217"/>
    </row>
    <row r="852">
      <c r="J852" s="217"/>
      <c r="K852" s="217"/>
      <c r="L852" s="217"/>
    </row>
    <row r="853">
      <c r="J853" s="217"/>
      <c r="K853" s="217"/>
      <c r="L853" s="217"/>
    </row>
    <row r="854">
      <c r="J854" s="217"/>
      <c r="K854" s="217"/>
      <c r="L854" s="217"/>
    </row>
    <row r="855">
      <c r="J855" s="217"/>
      <c r="K855" s="217"/>
      <c r="L855" s="217"/>
    </row>
    <row r="856">
      <c r="J856" s="217"/>
      <c r="K856" s="217"/>
      <c r="L856" s="217"/>
    </row>
    <row r="857">
      <c r="J857" s="217"/>
      <c r="K857" s="217"/>
      <c r="L857" s="217"/>
    </row>
    <row r="858">
      <c r="J858" s="217"/>
      <c r="K858" s="217"/>
      <c r="L858" s="217"/>
    </row>
    <row r="859">
      <c r="J859" s="217"/>
      <c r="K859" s="217"/>
      <c r="L859" s="217"/>
    </row>
    <row r="860">
      <c r="J860" s="217"/>
      <c r="K860" s="217"/>
      <c r="L860" s="217"/>
    </row>
    <row r="861">
      <c r="J861" s="217"/>
      <c r="K861" s="217"/>
      <c r="L861" s="217"/>
    </row>
    <row r="862">
      <c r="J862" s="217"/>
      <c r="K862" s="217"/>
      <c r="L862" s="217"/>
    </row>
    <row r="863">
      <c r="J863" s="217"/>
      <c r="K863" s="217"/>
      <c r="L863" s="217"/>
    </row>
    <row r="864">
      <c r="J864" s="217"/>
      <c r="K864" s="217"/>
      <c r="L864" s="217"/>
    </row>
    <row r="865">
      <c r="J865" s="217"/>
      <c r="K865" s="217"/>
      <c r="L865" s="217"/>
    </row>
    <row r="866">
      <c r="J866" s="217"/>
      <c r="K866" s="217"/>
      <c r="L866" s="217"/>
    </row>
    <row r="867">
      <c r="J867" s="217"/>
      <c r="K867" s="217"/>
      <c r="L867" s="217"/>
    </row>
    <row r="868">
      <c r="J868" s="217"/>
      <c r="K868" s="217"/>
      <c r="L868" s="217"/>
    </row>
    <row r="869">
      <c r="J869" s="217"/>
      <c r="K869" s="217"/>
      <c r="L869" s="217"/>
    </row>
    <row r="870">
      <c r="J870" s="217"/>
      <c r="K870" s="217"/>
      <c r="L870" s="217"/>
    </row>
    <row r="871">
      <c r="J871" s="217"/>
      <c r="K871" s="217"/>
      <c r="L871" s="217"/>
    </row>
    <row r="872">
      <c r="J872" s="217"/>
      <c r="K872" s="217"/>
      <c r="L872" s="217"/>
    </row>
    <row r="873">
      <c r="J873" s="217"/>
      <c r="K873" s="217"/>
      <c r="L873" s="217"/>
    </row>
    <row r="874">
      <c r="J874" s="217"/>
      <c r="K874" s="217"/>
      <c r="L874" s="217"/>
    </row>
    <row r="875">
      <c r="J875" s="217"/>
      <c r="K875" s="217"/>
      <c r="L875" s="217"/>
    </row>
    <row r="876">
      <c r="J876" s="217"/>
      <c r="K876" s="217"/>
      <c r="L876" s="217"/>
    </row>
    <row r="877">
      <c r="J877" s="217"/>
      <c r="K877" s="217"/>
      <c r="L877" s="217"/>
    </row>
    <row r="878">
      <c r="J878" s="217"/>
      <c r="K878" s="217"/>
      <c r="L878" s="217"/>
    </row>
    <row r="879">
      <c r="J879" s="217"/>
      <c r="K879" s="217"/>
      <c r="L879" s="217"/>
    </row>
    <row r="880">
      <c r="J880" s="217"/>
      <c r="K880" s="217"/>
      <c r="L880" s="217"/>
    </row>
    <row r="881">
      <c r="J881" s="217"/>
      <c r="K881" s="217"/>
      <c r="L881" s="217"/>
    </row>
    <row r="882">
      <c r="J882" s="217"/>
      <c r="K882" s="217"/>
      <c r="L882" s="217"/>
    </row>
    <row r="883">
      <c r="J883" s="217"/>
      <c r="K883" s="217"/>
      <c r="L883" s="217"/>
    </row>
    <row r="884">
      <c r="J884" s="217"/>
      <c r="K884" s="217"/>
      <c r="L884" s="217"/>
    </row>
    <row r="885">
      <c r="J885" s="217"/>
      <c r="K885" s="217"/>
      <c r="L885" s="217"/>
    </row>
    <row r="886">
      <c r="J886" s="217"/>
      <c r="K886" s="217"/>
      <c r="L886" s="217"/>
    </row>
    <row r="887">
      <c r="J887" s="217"/>
      <c r="K887" s="217"/>
      <c r="L887" s="217"/>
    </row>
    <row r="888">
      <c r="J888" s="217"/>
      <c r="K888" s="217"/>
      <c r="L888" s="217"/>
    </row>
    <row r="889">
      <c r="J889" s="217"/>
      <c r="K889" s="217"/>
      <c r="L889" s="217"/>
    </row>
    <row r="890">
      <c r="J890" s="217"/>
      <c r="K890" s="217"/>
      <c r="L890" s="217"/>
    </row>
    <row r="891">
      <c r="J891" s="217"/>
      <c r="K891" s="217"/>
      <c r="L891" s="217"/>
    </row>
    <row r="892">
      <c r="J892" s="217"/>
      <c r="K892" s="217"/>
      <c r="L892" s="217"/>
    </row>
    <row r="893">
      <c r="J893" s="217"/>
      <c r="K893" s="217"/>
      <c r="L893" s="217"/>
    </row>
    <row r="894">
      <c r="J894" s="217"/>
      <c r="K894" s="217"/>
      <c r="L894" s="217"/>
    </row>
    <row r="895">
      <c r="J895" s="217"/>
      <c r="K895" s="217"/>
      <c r="L895" s="217"/>
    </row>
    <row r="896">
      <c r="J896" s="217"/>
      <c r="K896" s="217"/>
      <c r="L896" s="217"/>
    </row>
    <row r="897">
      <c r="J897" s="217"/>
      <c r="K897" s="217"/>
      <c r="L897" s="217"/>
    </row>
    <row r="898">
      <c r="J898" s="217"/>
      <c r="K898" s="217"/>
      <c r="L898" s="217"/>
    </row>
    <row r="899">
      <c r="J899" s="217"/>
      <c r="K899" s="217"/>
      <c r="L899" s="217"/>
    </row>
    <row r="900">
      <c r="J900" s="217"/>
      <c r="K900" s="217"/>
      <c r="L900" s="217"/>
    </row>
    <row r="901">
      <c r="J901" s="217"/>
      <c r="K901" s="217"/>
      <c r="L901" s="217"/>
    </row>
    <row r="902">
      <c r="J902" s="217"/>
      <c r="K902" s="217"/>
      <c r="L902" s="217"/>
    </row>
    <row r="903">
      <c r="J903" s="217"/>
      <c r="K903" s="217"/>
      <c r="L903" s="217"/>
    </row>
    <row r="904">
      <c r="J904" s="217"/>
      <c r="K904" s="217"/>
      <c r="L904" s="217"/>
    </row>
    <row r="905">
      <c r="J905" s="217"/>
      <c r="K905" s="217"/>
      <c r="L905" s="217"/>
    </row>
    <row r="906">
      <c r="J906" s="217"/>
      <c r="K906" s="217"/>
      <c r="L906" s="217"/>
    </row>
    <row r="907">
      <c r="J907" s="217"/>
      <c r="K907" s="217"/>
      <c r="L907" s="217"/>
    </row>
    <row r="908">
      <c r="J908" s="217"/>
      <c r="K908" s="217"/>
      <c r="L908" s="217"/>
    </row>
    <row r="909">
      <c r="J909" s="217"/>
      <c r="K909" s="217"/>
      <c r="L909" s="217"/>
    </row>
    <row r="910">
      <c r="J910" s="217"/>
      <c r="K910" s="217"/>
      <c r="L910" s="217"/>
    </row>
    <row r="911">
      <c r="J911" s="217"/>
      <c r="K911" s="217"/>
      <c r="L911" s="217"/>
    </row>
    <row r="912">
      <c r="J912" s="217"/>
      <c r="K912" s="217"/>
      <c r="L912" s="217"/>
    </row>
    <row r="913">
      <c r="J913" s="217"/>
      <c r="K913" s="217"/>
      <c r="L913" s="217"/>
    </row>
    <row r="914">
      <c r="J914" s="217"/>
      <c r="K914" s="217"/>
      <c r="L914" s="217"/>
    </row>
    <row r="915">
      <c r="J915" s="217"/>
      <c r="K915" s="217"/>
      <c r="L915" s="217"/>
    </row>
    <row r="916">
      <c r="J916" s="217"/>
      <c r="K916" s="217"/>
      <c r="L916" s="217"/>
    </row>
    <row r="917">
      <c r="J917" s="217"/>
      <c r="K917" s="217"/>
      <c r="L917" s="217"/>
    </row>
    <row r="918">
      <c r="J918" s="217"/>
      <c r="K918" s="217"/>
      <c r="L918" s="217"/>
    </row>
    <row r="919">
      <c r="J919" s="217"/>
      <c r="K919" s="217"/>
      <c r="L919" s="217"/>
    </row>
    <row r="920">
      <c r="J920" s="217"/>
      <c r="K920" s="217"/>
      <c r="L920" s="217"/>
    </row>
    <row r="921">
      <c r="J921" s="217"/>
      <c r="K921" s="217"/>
      <c r="L921" s="217"/>
    </row>
    <row r="922">
      <c r="J922" s="217"/>
      <c r="K922" s="217"/>
      <c r="L922" s="217"/>
    </row>
    <row r="923">
      <c r="J923" s="217"/>
      <c r="K923" s="217"/>
      <c r="L923" s="217"/>
    </row>
    <row r="924">
      <c r="J924" s="217"/>
      <c r="K924" s="217"/>
      <c r="L924" s="217"/>
    </row>
    <row r="925">
      <c r="J925" s="217"/>
      <c r="K925" s="217"/>
      <c r="L925" s="217"/>
    </row>
    <row r="926">
      <c r="J926" s="217"/>
      <c r="K926" s="217"/>
      <c r="L926" s="217"/>
    </row>
    <row r="927">
      <c r="J927" s="217"/>
      <c r="K927" s="217"/>
      <c r="L927" s="217"/>
    </row>
    <row r="928">
      <c r="J928" s="217"/>
      <c r="K928" s="217"/>
      <c r="L928" s="217"/>
    </row>
    <row r="929">
      <c r="J929" s="217"/>
      <c r="K929" s="217"/>
      <c r="L929" s="217"/>
    </row>
    <row r="930">
      <c r="J930" s="217"/>
      <c r="K930" s="217"/>
      <c r="L930" s="217"/>
    </row>
    <row r="931">
      <c r="J931" s="217"/>
      <c r="K931" s="217"/>
      <c r="L931" s="217"/>
    </row>
    <row r="932">
      <c r="J932" s="217"/>
      <c r="K932" s="217"/>
      <c r="L932" s="217"/>
    </row>
    <row r="933">
      <c r="J933" s="217"/>
      <c r="K933" s="217"/>
      <c r="L933" s="217"/>
    </row>
    <row r="934">
      <c r="J934" s="217"/>
      <c r="K934" s="217"/>
      <c r="L934" s="217"/>
    </row>
    <row r="935">
      <c r="J935" s="217"/>
      <c r="K935" s="217"/>
      <c r="L935" s="217"/>
    </row>
    <row r="936">
      <c r="J936" s="217"/>
      <c r="K936" s="217"/>
      <c r="L936" s="217"/>
    </row>
    <row r="937">
      <c r="J937" s="217"/>
      <c r="K937" s="217"/>
      <c r="L937" s="217"/>
    </row>
    <row r="938">
      <c r="J938" s="217"/>
      <c r="K938" s="217"/>
      <c r="L938" s="217"/>
    </row>
    <row r="939">
      <c r="J939" s="217"/>
      <c r="K939" s="217"/>
      <c r="L939" s="217"/>
    </row>
    <row r="940">
      <c r="J940" s="217"/>
      <c r="K940" s="217"/>
      <c r="L940" s="217"/>
    </row>
    <row r="941">
      <c r="J941" s="217"/>
      <c r="K941" s="217"/>
      <c r="L941" s="217"/>
    </row>
    <row r="942">
      <c r="J942" s="217"/>
      <c r="K942" s="217"/>
      <c r="L942" s="217"/>
    </row>
    <row r="943">
      <c r="J943" s="217"/>
      <c r="K943" s="217"/>
      <c r="L943" s="217"/>
    </row>
    <row r="944">
      <c r="J944" s="217"/>
      <c r="K944" s="217"/>
      <c r="L944" s="217"/>
    </row>
    <row r="945">
      <c r="J945" s="217"/>
      <c r="K945" s="217"/>
      <c r="L945" s="217"/>
    </row>
    <row r="946">
      <c r="J946" s="217"/>
      <c r="K946" s="217"/>
      <c r="L946" s="217"/>
    </row>
    <row r="947">
      <c r="J947" s="217"/>
      <c r="K947" s="217"/>
      <c r="L947" s="217"/>
    </row>
    <row r="948">
      <c r="J948" s="217"/>
      <c r="K948" s="217"/>
      <c r="L948" s="217"/>
    </row>
    <row r="949">
      <c r="J949" s="217"/>
      <c r="K949" s="217"/>
      <c r="L949" s="217"/>
    </row>
    <row r="950">
      <c r="J950" s="217"/>
      <c r="K950" s="217"/>
      <c r="L950" s="217"/>
    </row>
    <row r="951">
      <c r="J951" s="217"/>
      <c r="K951" s="217"/>
      <c r="L951" s="217"/>
    </row>
    <row r="952">
      <c r="J952" s="217"/>
      <c r="K952" s="217"/>
      <c r="L952" s="217"/>
    </row>
    <row r="953">
      <c r="J953" s="217"/>
      <c r="K953" s="217"/>
      <c r="L953" s="217"/>
    </row>
    <row r="954">
      <c r="J954" s="217"/>
      <c r="K954" s="217"/>
      <c r="L954" s="217"/>
    </row>
    <row r="955">
      <c r="J955" s="217"/>
      <c r="K955" s="217"/>
      <c r="L955" s="217"/>
    </row>
    <row r="956">
      <c r="J956" s="217"/>
      <c r="K956" s="217"/>
      <c r="L956" s="217"/>
    </row>
    <row r="957">
      <c r="J957" s="217"/>
      <c r="K957" s="217"/>
      <c r="L957" s="217"/>
    </row>
    <row r="958">
      <c r="J958" s="217"/>
      <c r="K958" s="217"/>
      <c r="L958" s="217"/>
    </row>
    <row r="959">
      <c r="J959" s="217"/>
      <c r="K959" s="217"/>
      <c r="L959" s="217"/>
    </row>
    <row r="960">
      <c r="J960" s="217"/>
      <c r="K960" s="217"/>
      <c r="L960" s="217"/>
    </row>
    <row r="961">
      <c r="J961" s="217"/>
      <c r="K961" s="217"/>
      <c r="L961" s="217"/>
    </row>
    <row r="962">
      <c r="J962" s="217"/>
      <c r="K962" s="217"/>
      <c r="L962" s="217"/>
    </row>
    <row r="963">
      <c r="J963" s="217"/>
      <c r="K963" s="217"/>
      <c r="L963" s="217"/>
    </row>
    <row r="964">
      <c r="J964" s="217"/>
      <c r="K964" s="217"/>
      <c r="L964" s="217"/>
    </row>
    <row r="965">
      <c r="J965" s="217"/>
      <c r="K965" s="217"/>
      <c r="L965" s="217"/>
    </row>
    <row r="966">
      <c r="J966" s="217"/>
      <c r="K966" s="217"/>
      <c r="L966" s="217"/>
    </row>
    <row r="967">
      <c r="J967" s="217"/>
      <c r="K967" s="217"/>
      <c r="L967" s="217"/>
    </row>
    <row r="968">
      <c r="J968" s="217"/>
      <c r="K968" s="217"/>
      <c r="L968" s="217"/>
    </row>
    <row r="969">
      <c r="J969" s="217"/>
      <c r="K969" s="217"/>
      <c r="L969" s="217"/>
    </row>
    <row r="970">
      <c r="J970" s="217"/>
      <c r="K970" s="217"/>
      <c r="L970" s="217"/>
    </row>
    <row r="971">
      <c r="J971" s="217"/>
      <c r="K971" s="217"/>
      <c r="L971" s="217"/>
    </row>
    <row r="972">
      <c r="J972" s="217"/>
      <c r="K972" s="217"/>
      <c r="L972" s="217"/>
    </row>
    <row r="973">
      <c r="J973" s="217"/>
      <c r="K973" s="217"/>
      <c r="L973" s="217"/>
    </row>
    <row r="974">
      <c r="J974" s="217"/>
      <c r="K974" s="217"/>
      <c r="L974" s="217"/>
    </row>
    <row r="975">
      <c r="J975" s="217"/>
      <c r="K975" s="217"/>
      <c r="L975" s="217"/>
    </row>
    <row r="976">
      <c r="J976" s="217"/>
      <c r="K976" s="217"/>
      <c r="L976" s="217"/>
    </row>
    <row r="977">
      <c r="J977" s="217"/>
      <c r="K977" s="217"/>
      <c r="L977" s="217"/>
    </row>
    <row r="978">
      <c r="J978" s="217"/>
      <c r="K978" s="217"/>
      <c r="L978" s="217"/>
    </row>
    <row r="979">
      <c r="J979" s="217"/>
      <c r="K979" s="217"/>
      <c r="L979" s="217"/>
    </row>
    <row r="980">
      <c r="J980" s="217"/>
      <c r="K980" s="217"/>
      <c r="L980" s="217"/>
    </row>
    <row r="981">
      <c r="J981" s="217"/>
      <c r="K981" s="217"/>
      <c r="L981" s="217"/>
    </row>
    <row r="982">
      <c r="J982" s="217"/>
      <c r="K982" s="217"/>
      <c r="L982" s="217"/>
    </row>
    <row r="983">
      <c r="J983" s="217"/>
      <c r="K983" s="217"/>
      <c r="L983" s="217"/>
    </row>
    <row r="984">
      <c r="J984" s="217"/>
      <c r="K984" s="217"/>
      <c r="L984" s="217"/>
    </row>
    <row r="985">
      <c r="J985" s="217"/>
      <c r="K985" s="217"/>
      <c r="L985" s="217"/>
    </row>
    <row r="986">
      <c r="J986" s="217"/>
      <c r="K986" s="217"/>
      <c r="L986" s="21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4" max="4" width="18.5"/>
    <col customWidth="1" min="5" max="5" width="20.75"/>
    <col customWidth="1" min="7" max="7" width="25.63"/>
  </cols>
  <sheetData>
    <row r="1">
      <c r="A1" s="96" t="s">
        <v>567</v>
      </c>
      <c r="B1" s="96" t="s">
        <v>1</v>
      </c>
      <c r="C1" s="96" t="s">
        <v>700</v>
      </c>
      <c r="D1" s="96" t="s">
        <v>4</v>
      </c>
      <c r="E1" s="96" t="s">
        <v>5</v>
      </c>
      <c r="F1" s="96" t="s">
        <v>6</v>
      </c>
      <c r="G1" s="96" t="s">
        <v>7</v>
      </c>
      <c r="H1" s="218" t="s">
        <v>13</v>
      </c>
      <c r="I1" s="218" t="s">
        <v>14</v>
      </c>
      <c r="J1" s="219" t="s">
        <v>11</v>
      </c>
      <c r="K1" s="220"/>
      <c r="L1" s="220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</row>
    <row r="2">
      <c r="A2" s="221" t="s">
        <v>793</v>
      </c>
      <c r="B2" s="222" t="s">
        <v>794</v>
      </c>
      <c r="C2" s="223">
        <v>45419.0</v>
      </c>
      <c r="D2" s="221" t="s">
        <v>30</v>
      </c>
      <c r="E2" s="221" t="s">
        <v>148</v>
      </c>
      <c r="F2" s="224" t="s">
        <v>488</v>
      </c>
      <c r="G2" s="224" t="s">
        <v>149</v>
      </c>
      <c r="H2" s="224"/>
      <c r="I2" s="225"/>
      <c r="J2" s="226"/>
      <c r="K2" s="221"/>
      <c r="L2" s="221"/>
    </row>
    <row r="3">
      <c r="A3" s="209" t="s">
        <v>795</v>
      </c>
      <c r="B3" s="209" t="s">
        <v>796</v>
      </c>
      <c r="C3" s="227">
        <v>45857.0</v>
      </c>
      <c r="D3" s="209" t="s">
        <v>41</v>
      </c>
      <c r="E3" s="209" t="s">
        <v>103</v>
      </c>
      <c r="F3" s="209" t="s">
        <v>488</v>
      </c>
      <c r="G3" s="209" t="s">
        <v>105</v>
      </c>
      <c r="H3" s="200"/>
      <c r="I3" s="200"/>
    </row>
    <row r="4">
      <c r="A4" s="206" t="s">
        <v>797</v>
      </c>
      <c r="B4" s="206" t="s">
        <v>798</v>
      </c>
      <c r="C4" s="228">
        <v>45895.0</v>
      </c>
      <c r="D4" s="206" t="s">
        <v>799</v>
      </c>
      <c r="E4" s="206" t="s">
        <v>46</v>
      </c>
      <c r="F4" s="206" t="s">
        <v>48</v>
      </c>
      <c r="G4" s="206" t="s">
        <v>800</v>
      </c>
      <c r="H4" s="229"/>
      <c r="I4" s="229"/>
      <c r="J4" s="230"/>
      <c r="K4" s="230"/>
      <c r="L4" s="23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13.38"/>
    <col customWidth="1" min="4" max="4" width="35.0"/>
    <col customWidth="1" min="5" max="5" width="13.75"/>
    <col customWidth="1" min="6" max="6" width="37.63"/>
    <col customWidth="1" min="7" max="7" width="13.75"/>
    <col customWidth="1" min="8" max="8" width="5.38"/>
    <col customWidth="1" min="9" max="9" width="6.38"/>
    <col customWidth="1" min="10" max="10" width="27.5"/>
    <col customWidth="1" min="11" max="11" width="15.75"/>
    <col customWidth="1" min="12" max="12" width="37.63"/>
    <col customWidth="1" min="13" max="15" width="13.88"/>
  </cols>
  <sheetData>
    <row r="1">
      <c r="A1" s="231"/>
      <c r="B1" s="232" t="s">
        <v>801</v>
      </c>
      <c r="C1" s="232" t="s">
        <v>802</v>
      </c>
      <c r="E1" s="233"/>
      <c r="F1" s="234"/>
      <c r="G1" s="233"/>
      <c r="H1" s="235"/>
      <c r="I1" s="231"/>
      <c r="J1" s="236"/>
      <c r="K1" s="231"/>
      <c r="L1" s="236"/>
      <c r="M1" s="233"/>
      <c r="N1" s="233"/>
      <c r="O1" s="233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</row>
    <row r="2">
      <c r="A2" s="231"/>
      <c r="B2" s="232" t="s">
        <v>803</v>
      </c>
      <c r="C2" s="233">
        <f>O36-G51</f>
        <v>-94512.85</v>
      </c>
      <c r="D2" s="236"/>
      <c r="E2" s="233"/>
      <c r="F2" s="234"/>
      <c r="G2" s="233"/>
      <c r="H2" s="235"/>
      <c r="I2" s="231"/>
      <c r="J2" s="236"/>
      <c r="K2" s="231"/>
      <c r="L2" s="236"/>
      <c r="M2" s="233"/>
      <c r="N2" s="233"/>
      <c r="O2" s="233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</row>
    <row r="3">
      <c r="A3" s="231"/>
      <c r="B3" s="236"/>
      <c r="C3" s="238"/>
      <c r="D3" s="236"/>
      <c r="E3" s="233"/>
      <c r="F3" s="234"/>
      <c r="G3" s="233"/>
      <c r="H3" s="235"/>
      <c r="I3" s="231"/>
      <c r="J3" s="236"/>
      <c r="K3" s="231"/>
      <c r="L3" s="236"/>
      <c r="M3" s="233"/>
      <c r="N3" s="233"/>
      <c r="O3" s="233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</row>
    <row r="4">
      <c r="A4" s="231"/>
      <c r="B4" s="231" t="s">
        <v>804</v>
      </c>
      <c r="C4" s="238"/>
      <c r="D4" s="236"/>
      <c r="E4" s="233"/>
      <c r="F4" s="234"/>
      <c r="G4" s="233"/>
      <c r="H4" s="235"/>
      <c r="I4" s="231"/>
      <c r="J4" s="231" t="s">
        <v>805</v>
      </c>
      <c r="K4" s="231"/>
      <c r="L4" s="236"/>
      <c r="M4" s="233"/>
      <c r="N4" s="233"/>
      <c r="O4" s="233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</row>
    <row r="5">
      <c r="A5" s="239" t="s">
        <v>537</v>
      </c>
      <c r="B5" s="240" t="s">
        <v>806</v>
      </c>
      <c r="C5" s="241" t="s">
        <v>807</v>
      </c>
      <c r="D5" s="242" t="s">
        <v>808</v>
      </c>
      <c r="E5" s="243" t="s">
        <v>809</v>
      </c>
      <c r="F5" s="243" t="s">
        <v>810</v>
      </c>
      <c r="G5" s="244" t="s">
        <v>12</v>
      </c>
      <c r="H5" s="245"/>
      <c r="I5" s="239" t="s">
        <v>537</v>
      </c>
      <c r="J5" s="240" t="s">
        <v>806</v>
      </c>
      <c r="K5" s="246" t="s">
        <v>811</v>
      </c>
      <c r="L5" s="242" t="s">
        <v>808</v>
      </c>
      <c r="M5" s="243" t="s">
        <v>809</v>
      </c>
      <c r="N5" s="243" t="s">
        <v>812</v>
      </c>
      <c r="O5" s="244" t="s">
        <v>12</v>
      </c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</row>
    <row r="6">
      <c r="A6" s="248">
        <v>1.0</v>
      </c>
      <c r="B6" s="248" t="s">
        <v>813</v>
      </c>
      <c r="C6" s="249">
        <v>45178.0</v>
      </c>
      <c r="D6" s="248" t="s">
        <v>814</v>
      </c>
      <c r="E6" s="250" t="s">
        <v>0</v>
      </c>
      <c r="F6" s="251"/>
      <c r="G6" s="252">
        <v>750.0</v>
      </c>
      <c r="H6" s="253"/>
      <c r="I6" s="248">
        <v>1.0</v>
      </c>
      <c r="J6" s="248" t="s">
        <v>815</v>
      </c>
      <c r="K6" s="254">
        <v>45822.0</v>
      </c>
      <c r="L6" s="248" t="s">
        <v>816</v>
      </c>
      <c r="M6" s="255" t="s">
        <v>0</v>
      </c>
      <c r="N6" s="255" t="s">
        <v>817</v>
      </c>
      <c r="O6" s="255">
        <v>2100.0</v>
      </c>
    </row>
    <row r="7">
      <c r="A7" s="256">
        <v>2.0</v>
      </c>
      <c r="B7" s="256" t="s">
        <v>818</v>
      </c>
      <c r="C7" s="257">
        <v>45368.0</v>
      </c>
      <c r="D7" s="256" t="s">
        <v>819</v>
      </c>
      <c r="E7" s="258" t="s">
        <v>0</v>
      </c>
      <c r="F7" s="259" t="s">
        <v>820</v>
      </c>
      <c r="G7" s="260">
        <v>1000.0</v>
      </c>
      <c r="H7" s="253"/>
      <c r="I7" s="256">
        <v>2.0</v>
      </c>
      <c r="J7" s="192" t="s">
        <v>821</v>
      </c>
      <c r="K7" s="261">
        <v>45843.0</v>
      </c>
      <c r="L7" s="256" t="s">
        <v>822</v>
      </c>
      <c r="M7" s="260" t="s">
        <v>0</v>
      </c>
      <c r="N7" s="260" t="s">
        <v>813</v>
      </c>
      <c r="O7" s="260">
        <v>1400.0</v>
      </c>
    </row>
    <row r="8">
      <c r="A8" s="262">
        <v>3.0</v>
      </c>
      <c r="B8" s="262" t="s">
        <v>823</v>
      </c>
      <c r="C8" s="257">
        <v>45451.0</v>
      </c>
      <c r="D8" s="262" t="s">
        <v>824</v>
      </c>
      <c r="E8" s="258" t="s">
        <v>825</v>
      </c>
      <c r="F8" s="259"/>
      <c r="G8" s="260">
        <v>1075.0</v>
      </c>
      <c r="H8" s="253"/>
      <c r="I8" s="262">
        <v>3.0</v>
      </c>
      <c r="J8" s="262" t="s">
        <v>826</v>
      </c>
      <c r="K8" s="261">
        <v>45856.0</v>
      </c>
      <c r="L8" s="262" t="s">
        <v>827</v>
      </c>
      <c r="M8" s="260" t="s">
        <v>780</v>
      </c>
      <c r="N8" s="260" t="s">
        <v>828</v>
      </c>
      <c r="O8" s="260">
        <f>1100/2</f>
        <v>550</v>
      </c>
    </row>
    <row r="9">
      <c r="A9" s="248">
        <v>4.0</v>
      </c>
      <c r="B9" s="263" t="s">
        <v>829</v>
      </c>
      <c r="C9" s="249">
        <v>45467.0</v>
      </c>
      <c r="D9" s="263" t="s">
        <v>830</v>
      </c>
      <c r="E9" s="250" t="s">
        <v>0</v>
      </c>
      <c r="F9" s="264" t="s">
        <v>831</v>
      </c>
      <c r="G9" s="255">
        <v>800.0</v>
      </c>
      <c r="H9" s="253"/>
      <c r="I9" s="248">
        <v>4.0</v>
      </c>
      <c r="J9" s="248" t="s">
        <v>832</v>
      </c>
      <c r="K9" s="254">
        <v>45947.0</v>
      </c>
      <c r="L9" s="248" t="s">
        <v>833</v>
      </c>
      <c r="M9" s="265" t="s">
        <v>825</v>
      </c>
      <c r="N9" s="265" t="s">
        <v>834</v>
      </c>
      <c r="O9" s="265">
        <v>3566.67</v>
      </c>
    </row>
    <row r="10">
      <c r="A10" s="256">
        <v>5.0</v>
      </c>
      <c r="B10" s="248" t="s">
        <v>835</v>
      </c>
      <c r="C10" s="249">
        <v>45479.0</v>
      </c>
      <c r="D10" s="263" t="s">
        <v>836</v>
      </c>
      <c r="E10" s="250" t="s">
        <v>0</v>
      </c>
      <c r="F10" s="264" t="s">
        <v>837</v>
      </c>
      <c r="G10" s="255">
        <v>1000.0</v>
      </c>
      <c r="H10" s="253"/>
      <c r="I10" s="256">
        <v>5.0</v>
      </c>
      <c r="J10" s="248" t="s">
        <v>832</v>
      </c>
      <c r="K10" s="254">
        <v>45947.0</v>
      </c>
      <c r="L10" s="248" t="s">
        <v>833</v>
      </c>
      <c r="M10" s="265" t="s">
        <v>825</v>
      </c>
      <c r="N10" s="265" t="s">
        <v>838</v>
      </c>
      <c r="O10" s="265">
        <v>3000.0</v>
      </c>
    </row>
    <row r="11">
      <c r="A11" s="262">
        <v>6.0</v>
      </c>
      <c r="B11" s="248" t="s">
        <v>835</v>
      </c>
      <c r="C11" s="249">
        <v>45479.0</v>
      </c>
      <c r="D11" s="266" t="s">
        <v>839</v>
      </c>
      <c r="E11" s="250" t="s">
        <v>0</v>
      </c>
      <c r="F11" s="264" t="s">
        <v>840</v>
      </c>
      <c r="G11" s="252">
        <v>375.0</v>
      </c>
      <c r="I11" s="262">
        <v>6.0</v>
      </c>
      <c r="J11" s="248" t="s">
        <v>841</v>
      </c>
      <c r="K11" s="254">
        <v>45990.0</v>
      </c>
      <c r="L11" s="248" t="s">
        <v>833</v>
      </c>
      <c r="M11" s="265" t="s">
        <v>825</v>
      </c>
      <c r="N11" s="255" t="s">
        <v>842</v>
      </c>
      <c r="O11" s="255">
        <v>1200.0</v>
      </c>
    </row>
    <row r="12">
      <c r="A12" s="248">
        <v>7.0</v>
      </c>
      <c r="B12" s="267" t="s">
        <v>843</v>
      </c>
      <c r="C12" s="249">
        <v>45632.0</v>
      </c>
      <c r="D12" s="268" t="s">
        <v>844</v>
      </c>
      <c r="E12" s="250" t="s">
        <v>0</v>
      </c>
      <c r="F12" s="251"/>
      <c r="G12" s="252">
        <v>733.26</v>
      </c>
      <c r="H12" s="253"/>
      <c r="I12" s="248">
        <v>7.0</v>
      </c>
      <c r="J12" s="267" t="s">
        <v>845</v>
      </c>
      <c r="K12" s="254">
        <v>46003.0</v>
      </c>
      <c r="L12" s="248" t="s">
        <v>833</v>
      </c>
      <c r="M12" s="265" t="s">
        <v>825</v>
      </c>
      <c r="N12" s="255" t="s">
        <v>846</v>
      </c>
      <c r="O12" s="255">
        <v>1500.0</v>
      </c>
    </row>
    <row r="13">
      <c r="A13" s="256">
        <v>8.0</v>
      </c>
      <c r="B13" s="267" t="s">
        <v>843</v>
      </c>
      <c r="C13" s="257">
        <v>45632.0</v>
      </c>
      <c r="D13" s="256" t="s">
        <v>847</v>
      </c>
      <c r="E13" s="258" t="s">
        <v>0</v>
      </c>
      <c r="F13" s="259" t="s">
        <v>848</v>
      </c>
      <c r="G13" s="260">
        <v>1800.0</v>
      </c>
      <c r="H13" s="253"/>
      <c r="I13" s="256">
        <v>8.0</v>
      </c>
      <c r="J13" s="267" t="s">
        <v>849</v>
      </c>
      <c r="K13" s="261">
        <v>46004.0</v>
      </c>
      <c r="L13" s="256" t="s">
        <v>850</v>
      </c>
      <c r="M13" s="260" t="s">
        <v>780</v>
      </c>
      <c r="N13" s="260" t="s">
        <v>851</v>
      </c>
      <c r="O13" s="260">
        <v>2500.0</v>
      </c>
    </row>
    <row r="14">
      <c r="A14" s="262">
        <v>9.0</v>
      </c>
      <c r="B14" s="267" t="s">
        <v>843</v>
      </c>
      <c r="C14" s="257">
        <v>45632.0</v>
      </c>
      <c r="D14" s="269" t="s">
        <v>852</v>
      </c>
      <c r="E14" s="258" t="s">
        <v>780</v>
      </c>
      <c r="F14" s="259"/>
      <c r="G14" s="260">
        <v>999.9</v>
      </c>
      <c r="H14" s="253"/>
      <c r="I14" s="262">
        <v>9.0</v>
      </c>
      <c r="J14" s="267" t="s">
        <v>853</v>
      </c>
      <c r="K14" s="261">
        <v>46096.0</v>
      </c>
      <c r="L14" s="256" t="s">
        <v>833</v>
      </c>
      <c r="M14" s="265" t="s">
        <v>825</v>
      </c>
      <c r="N14" s="260" t="s">
        <v>846</v>
      </c>
      <c r="O14" s="260">
        <v>1250.0</v>
      </c>
    </row>
    <row r="15">
      <c r="A15" s="248">
        <v>10.0</v>
      </c>
      <c r="B15" s="267" t="s">
        <v>843</v>
      </c>
      <c r="C15" s="249">
        <v>45632.0</v>
      </c>
      <c r="D15" s="270" t="s">
        <v>854</v>
      </c>
      <c r="E15" s="250" t="s">
        <v>780</v>
      </c>
      <c r="F15" s="264" t="s">
        <v>855</v>
      </c>
      <c r="G15" s="252">
        <v>2999.7</v>
      </c>
      <c r="I15" s="248">
        <v>10.0</v>
      </c>
      <c r="J15" s="267" t="s">
        <v>853</v>
      </c>
      <c r="K15" s="261">
        <v>46096.0</v>
      </c>
      <c r="L15" s="256" t="s">
        <v>833</v>
      </c>
      <c r="M15" s="265" t="s">
        <v>825</v>
      </c>
      <c r="N15" s="255" t="s">
        <v>856</v>
      </c>
      <c r="O15" s="255">
        <v>1250.0</v>
      </c>
    </row>
    <row r="16">
      <c r="A16" s="256">
        <v>11.0</v>
      </c>
      <c r="B16" s="269" t="s">
        <v>857</v>
      </c>
      <c r="C16" s="257">
        <v>45711.0</v>
      </c>
      <c r="D16" s="271" t="s">
        <v>858</v>
      </c>
      <c r="E16" s="258" t="s">
        <v>0</v>
      </c>
      <c r="F16" s="259" t="s">
        <v>855</v>
      </c>
      <c r="G16" s="272">
        <v>500.0</v>
      </c>
      <c r="I16" s="256">
        <v>11.0</v>
      </c>
      <c r="J16" s="267" t="s">
        <v>853</v>
      </c>
      <c r="K16" s="261">
        <v>46096.0</v>
      </c>
      <c r="L16" s="256" t="s">
        <v>859</v>
      </c>
      <c r="M16" s="265" t="s">
        <v>825</v>
      </c>
      <c r="N16" s="260" t="s">
        <v>860</v>
      </c>
      <c r="O16" s="260">
        <v>2250.0</v>
      </c>
    </row>
    <row r="17">
      <c r="A17" s="262">
        <v>12.0</v>
      </c>
      <c r="B17" s="268" t="s">
        <v>861</v>
      </c>
      <c r="C17" s="249">
        <v>45772.0</v>
      </c>
      <c r="D17" s="270" t="s">
        <v>709</v>
      </c>
      <c r="E17" s="250" t="s">
        <v>0</v>
      </c>
      <c r="F17" s="264" t="s">
        <v>862</v>
      </c>
      <c r="G17" s="252">
        <v>3100.0</v>
      </c>
      <c r="I17" s="262">
        <v>12.0</v>
      </c>
      <c r="J17" s="268"/>
      <c r="K17" s="249"/>
      <c r="L17" s="270"/>
      <c r="M17" s="252"/>
      <c r="N17" s="252"/>
      <c r="O17" s="255"/>
    </row>
    <row r="18">
      <c r="A18" s="248">
        <v>13.0</v>
      </c>
      <c r="B18" s="269" t="s">
        <v>863</v>
      </c>
      <c r="C18" s="257">
        <v>45795.0</v>
      </c>
      <c r="D18" s="271" t="s">
        <v>864</v>
      </c>
      <c r="E18" s="258" t="s">
        <v>0</v>
      </c>
      <c r="F18" s="264" t="s">
        <v>831</v>
      </c>
      <c r="G18" s="260">
        <v>615.0</v>
      </c>
      <c r="I18" s="248">
        <v>13.0</v>
      </c>
      <c r="J18" s="269"/>
      <c r="K18" s="257"/>
      <c r="L18" s="271"/>
      <c r="M18" s="260"/>
      <c r="N18" s="260"/>
      <c r="O18" s="260"/>
    </row>
    <row r="19">
      <c r="A19" s="256">
        <v>14.0</v>
      </c>
      <c r="B19" s="269" t="s">
        <v>863</v>
      </c>
      <c r="C19" s="257">
        <v>45795.0</v>
      </c>
      <c r="D19" s="269" t="s">
        <v>865</v>
      </c>
      <c r="E19" s="258" t="s">
        <v>0</v>
      </c>
      <c r="F19" s="259" t="s">
        <v>866</v>
      </c>
      <c r="G19" s="272">
        <f>1350/2</f>
        <v>675</v>
      </c>
      <c r="H19" s="253"/>
      <c r="I19" s="256">
        <v>14.0</v>
      </c>
      <c r="J19" s="269"/>
      <c r="K19" s="257"/>
      <c r="L19" s="269"/>
      <c r="M19" s="272"/>
      <c r="N19" s="272"/>
      <c r="O19" s="272"/>
    </row>
    <row r="20">
      <c r="A20" s="262">
        <v>15.0</v>
      </c>
      <c r="B20" s="268" t="s">
        <v>867</v>
      </c>
      <c r="C20" s="249">
        <v>45818.0</v>
      </c>
      <c r="D20" s="268" t="s">
        <v>46</v>
      </c>
      <c r="E20" s="250" t="s">
        <v>0</v>
      </c>
      <c r="F20" s="264" t="s">
        <v>868</v>
      </c>
      <c r="G20" s="255">
        <v>950.0</v>
      </c>
      <c r="H20" s="253"/>
      <c r="I20" s="262">
        <v>15.0</v>
      </c>
      <c r="J20" s="268"/>
      <c r="K20" s="249"/>
      <c r="L20" s="268"/>
      <c r="M20" s="255"/>
      <c r="N20" s="255"/>
      <c r="O20" s="255"/>
    </row>
    <row r="21">
      <c r="A21" s="248">
        <v>16.0</v>
      </c>
      <c r="B21" s="268" t="s">
        <v>867</v>
      </c>
      <c r="C21" s="249">
        <v>45818.0</v>
      </c>
      <c r="D21" s="268" t="s">
        <v>103</v>
      </c>
      <c r="E21" s="250" t="s">
        <v>0</v>
      </c>
      <c r="F21" s="264" t="s">
        <v>868</v>
      </c>
      <c r="G21" s="252">
        <v>700.0</v>
      </c>
      <c r="H21" s="253"/>
      <c r="I21" s="248">
        <v>16.0</v>
      </c>
      <c r="J21" s="268"/>
      <c r="K21" s="249"/>
      <c r="L21" s="268"/>
      <c r="M21" s="252"/>
      <c r="N21" s="252"/>
      <c r="O21" s="252"/>
    </row>
    <row r="22">
      <c r="A22" s="256">
        <v>17.0</v>
      </c>
      <c r="B22" s="269" t="s">
        <v>867</v>
      </c>
      <c r="C22" s="257">
        <v>45818.0</v>
      </c>
      <c r="D22" s="269" t="s">
        <v>164</v>
      </c>
      <c r="E22" s="258" t="s">
        <v>0</v>
      </c>
      <c r="F22" s="259" t="s">
        <v>869</v>
      </c>
      <c r="G22" s="260">
        <v>470.0</v>
      </c>
      <c r="H22" s="253"/>
      <c r="I22" s="256">
        <v>17.0</v>
      </c>
      <c r="J22" s="269"/>
      <c r="K22" s="257"/>
      <c r="L22" s="269"/>
      <c r="M22" s="260"/>
      <c r="N22" s="260"/>
      <c r="O22" s="260"/>
    </row>
    <row r="23">
      <c r="A23" s="262">
        <v>18.0</v>
      </c>
      <c r="B23" s="192" t="s">
        <v>870</v>
      </c>
      <c r="C23" s="273">
        <v>45835.0</v>
      </c>
      <c r="D23" s="192" t="s">
        <v>871</v>
      </c>
      <c r="E23" s="274" t="s">
        <v>780</v>
      </c>
      <c r="F23" s="275" t="s">
        <v>872</v>
      </c>
      <c r="G23" s="276">
        <v>2000.0</v>
      </c>
      <c r="H23" s="253"/>
      <c r="I23" s="262">
        <v>18.0</v>
      </c>
      <c r="J23" s="192"/>
      <c r="K23" s="273"/>
      <c r="L23" s="192"/>
      <c r="M23" s="276"/>
      <c r="N23" s="276"/>
      <c r="O23" s="276"/>
    </row>
    <row r="24">
      <c r="A24" s="248">
        <v>19.0</v>
      </c>
      <c r="B24" s="192" t="s">
        <v>873</v>
      </c>
      <c r="C24" s="273">
        <v>45836.0</v>
      </c>
      <c r="D24" s="192" t="s">
        <v>874</v>
      </c>
      <c r="E24" s="274" t="s">
        <v>780</v>
      </c>
      <c r="F24" s="275" t="s">
        <v>875</v>
      </c>
      <c r="G24" s="276">
        <v>1800.0</v>
      </c>
      <c r="H24" s="253"/>
      <c r="I24" s="248">
        <v>19.0</v>
      </c>
      <c r="J24" s="192"/>
      <c r="K24" s="273"/>
      <c r="L24" s="192"/>
      <c r="M24" s="276"/>
      <c r="N24" s="276"/>
      <c r="O24" s="276"/>
    </row>
    <row r="25">
      <c r="A25" s="256">
        <v>20.0</v>
      </c>
      <c r="B25" s="192" t="s">
        <v>821</v>
      </c>
      <c r="C25" s="273">
        <v>45842.0</v>
      </c>
      <c r="D25" s="192" t="s">
        <v>876</v>
      </c>
      <c r="E25" s="274" t="s">
        <v>0</v>
      </c>
      <c r="F25" s="275" t="s">
        <v>877</v>
      </c>
      <c r="G25" s="276">
        <v>900.0</v>
      </c>
      <c r="H25" s="253"/>
      <c r="I25" s="256">
        <v>20.0</v>
      </c>
      <c r="J25" s="277"/>
      <c r="K25" s="278"/>
      <c r="L25" s="277"/>
      <c r="M25" s="279"/>
      <c r="N25" s="279"/>
      <c r="O25" s="279"/>
    </row>
    <row r="26">
      <c r="A26" s="262">
        <v>21.0</v>
      </c>
      <c r="B26" s="192" t="s">
        <v>821</v>
      </c>
      <c r="C26" s="273">
        <v>45843.0</v>
      </c>
      <c r="D26" s="192" t="s">
        <v>139</v>
      </c>
      <c r="E26" s="274" t="s">
        <v>0</v>
      </c>
      <c r="F26" s="275" t="s">
        <v>878</v>
      </c>
      <c r="G26" s="276">
        <v>1300.0</v>
      </c>
      <c r="H26" s="253"/>
      <c r="I26" s="262">
        <v>21.0</v>
      </c>
      <c r="J26" s="277"/>
      <c r="K26" s="278"/>
      <c r="L26" s="277"/>
      <c r="M26" s="279"/>
      <c r="N26" s="279"/>
      <c r="O26" s="279"/>
    </row>
    <row r="27">
      <c r="A27" s="248">
        <v>22.0</v>
      </c>
      <c r="B27" s="192" t="s">
        <v>821</v>
      </c>
      <c r="C27" s="273">
        <v>45843.0</v>
      </c>
      <c r="D27" s="192" t="s">
        <v>879</v>
      </c>
      <c r="E27" s="274" t="s">
        <v>0</v>
      </c>
      <c r="F27" s="275" t="s">
        <v>880</v>
      </c>
      <c r="G27" s="276">
        <v>1300.0</v>
      </c>
      <c r="H27" s="253"/>
      <c r="I27" s="248">
        <v>22.0</v>
      </c>
      <c r="J27" s="277"/>
      <c r="K27" s="278"/>
      <c r="L27" s="277"/>
      <c r="M27" s="279"/>
      <c r="N27" s="279"/>
      <c r="O27" s="279"/>
    </row>
    <row r="28">
      <c r="A28" s="256">
        <v>23.0</v>
      </c>
      <c r="B28" s="192" t="s">
        <v>881</v>
      </c>
      <c r="C28" s="273">
        <v>45845.0</v>
      </c>
      <c r="D28" s="192" t="s">
        <v>882</v>
      </c>
      <c r="E28" s="274" t="s">
        <v>825</v>
      </c>
      <c r="F28" s="275" t="s">
        <v>883</v>
      </c>
      <c r="G28" s="276">
        <v>2000.0</v>
      </c>
      <c r="H28" s="253"/>
      <c r="I28" s="256">
        <v>23.0</v>
      </c>
      <c r="J28" s="277"/>
      <c r="K28" s="278"/>
      <c r="L28" s="277"/>
      <c r="M28" s="279"/>
      <c r="N28" s="279"/>
      <c r="O28" s="279"/>
    </row>
    <row r="29">
      <c r="A29" s="262">
        <v>24.0</v>
      </c>
      <c r="B29" s="192" t="s">
        <v>884</v>
      </c>
      <c r="C29" s="273">
        <v>45864.0</v>
      </c>
      <c r="D29" s="192" t="s">
        <v>885</v>
      </c>
      <c r="E29" s="274" t="s">
        <v>825</v>
      </c>
      <c r="F29" s="275" t="s">
        <v>886</v>
      </c>
      <c r="G29" s="276">
        <v>5000.0</v>
      </c>
      <c r="H29" s="253"/>
      <c r="I29" s="262">
        <v>24.0</v>
      </c>
      <c r="J29" s="277"/>
      <c r="K29" s="278"/>
      <c r="L29" s="277"/>
      <c r="M29" s="279"/>
      <c r="N29" s="279"/>
      <c r="O29" s="279"/>
    </row>
    <row r="30">
      <c r="A30" s="248">
        <v>25.0</v>
      </c>
      <c r="B30" s="192" t="s">
        <v>887</v>
      </c>
      <c r="C30" s="273">
        <v>45878.0</v>
      </c>
      <c r="D30" s="192" t="s">
        <v>888</v>
      </c>
      <c r="E30" s="274" t="s">
        <v>825</v>
      </c>
      <c r="F30" s="275" t="s">
        <v>889</v>
      </c>
      <c r="G30" s="276">
        <v>3500.0</v>
      </c>
      <c r="H30" s="253"/>
      <c r="I30" s="248">
        <v>25.0</v>
      </c>
      <c r="J30" s="277"/>
      <c r="K30" s="278"/>
      <c r="L30" s="277"/>
      <c r="M30" s="279"/>
      <c r="N30" s="279"/>
      <c r="O30" s="279"/>
    </row>
    <row r="31">
      <c r="A31" s="256">
        <v>26.0</v>
      </c>
      <c r="B31" s="192" t="s">
        <v>890</v>
      </c>
      <c r="C31" s="273">
        <v>45883.0</v>
      </c>
      <c r="D31" s="192" t="s">
        <v>891</v>
      </c>
      <c r="E31" s="274" t="s">
        <v>780</v>
      </c>
      <c r="F31" s="275" t="s">
        <v>892</v>
      </c>
      <c r="G31" s="276">
        <v>3750.0</v>
      </c>
      <c r="I31" s="262">
        <v>26.0</v>
      </c>
      <c r="J31" s="277"/>
      <c r="K31" s="278"/>
      <c r="L31" s="277"/>
      <c r="M31" s="279"/>
      <c r="N31" s="279"/>
      <c r="O31" s="279"/>
    </row>
    <row r="32">
      <c r="A32" s="262">
        <v>27.0</v>
      </c>
      <c r="B32" s="192" t="s">
        <v>893</v>
      </c>
      <c r="C32" s="273">
        <v>45900.0</v>
      </c>
      <c r="D32" s="192" t="s">
        <v>894</v>
      </c>
      <c r="E32" s="274" t="s">
        <v>0</v>
      </c>
      <c r="F32" s="275" t="s">
        <v>895</v>
      </c>
      <c r="G32" s="276">
        <v>1150.0</v>
      </c>
      <c r="I32" s="248">
        <v>27.0</v>
      </c>
      <c r="J32" s="277"/>
      <c r="K32" s="278"/>
      <c r="L32" s="277"/>
      <c r="M32" s="279"/>
      <c r="N32" s="279"/>
      <c r="O32" s="279"/>
    </row>
    <row r="33">
      <c r="A33" s="248">
        <v>28.0</v>
      </c>
      <c r="B33" s="192" t="s">
        <v>893</v>
      </c>
      <c r="C33" s="273">
        <v>45900.0</v>
      </c>
      <c r="D33" s="192" t="s">
        <v>896</v>
      </c>
      <c r="E33" s="274" t="s">
        <v>0</v>
      </c>
      <c r="F33" s="275" t="s">
        <v>897</v>
      </c>
      <c r="G33" s="276">
        <v>620.0</v>
      </c>
      <c r="I33" s="262">
        <v>28.0</v>
      </c>
      <c r="J33" s="277"/>
      <c r="K33" s="278"/>
      <c r="L33" s="277"/>
      <c r="M33" s="279"/>
      <c r="N33" s="279"/>
      <c r="O33" s="279"/>
    </row>
    <row r="34">
      <c r="A34" s="256">
        <v>29.0</v>
      </c>
      <c r="B34" s="192" t="s">
        <v>898</v>
      </c>
      <c r="C34" s="273">
        <v>45905.0</v>
      </c>
      <c r="D34" s="192" t="s">
        <v>899</v>
      </c>
      <c r="E34" s="274" t="s">
        <v>825</v>
      </c>
      <c r="F34" s="275" t="s">
        <v>900</v>
      </c>
      <c r="G34" s="276">
        <v>2025.0</v>
      </c>
      <c r="I34" s="248">
        <v>29.0</v>
      </c>
      <c r="J34" s="277"/>
      <c r="K34" s="278"/>
      <c r="L34" s="277"/>
      <c r="M34" s="279"/>
      <c r="N34" s="279"/>
      <c r="O34" s="279"/>
    </row>
    <row r="35">
      <c r="A35" s="262">
        <v>30.0</v>
      </c>
      <c r="B35" s="192" t="s">
        <v>901</v>
      </c>
      <c r="C35" s="273">
        <v>45912.0</v>
      </c>
      <c r="D35" s="192" t="s">
        <v>902</v>
      </c>
      <c r="E35" s="274" t="s">
        <v>825</v>
      </c>
      <c r="F35" s="275" t="s">
        <v>903</v>
      </c>
      <c r="G35" s="276">
        <v>5000.0</v>
      </c>
      <c r="I35" s="262">
        <v>30.0</v>
      </c>
      <c r="J35" s="277"/>
      <c r="K35" s="278"/>
      <c r="L35" s="277"/>
      <c r="M35" s="279"/>
      <c r="N35" s="279"/>
      <c r="O35" s="279"/>
    </row>
    <row r="36">
      <c r="A36" s="248">
        <v>31.0</v>
      </c>
      <c r="B36" s="192" t="s">
        <v>901</v>
      </c>
      <c r="C36" s="273">
        <v>45913.0</v>
      </c>
      <c r="D36" s="192" t="s">
        <v>904</v>
      </c>
      <c r="E36" s="274" t="s">
        <v>0</v>
      </c>
      <c r="F36" s="275" t="s">
        <v>905</v>
      </c>
      <c r="G36" s="279">
        <f>(21000*30)/40</f>
        <v>15750</v>
      </c>
      <c r="I36" s="280"/>
      <c r="J36" s="280"/>
      <c r="K36" s="281"/>
      <c r="L36" s="282" t="s">
        <v>789</v>
      </c>
      <c r="M36" s="283"/>
      <c r="N36" s="283"/>
      <c r="O36" s="283">
        <f>SUM(O6:O30)</f>
        <v>20566.67</v>
      </c>
    </row>
    <row r="37">
      <c r="A37" s="256">
        <v>32.0</v>
      </c>
      <c r="B37" s="284" t="s">
        <v>906</v>
      </c>
      <c r="C37" s="285">
        <v>45925.0</v>
      </c>
      <c r="D37" s="284" t="s">
        <v>907</v>
      </c>
      <c r="E37" s="286" t="s">
        <v>780</v>
      </c>
      <c r="F37" s="287" t="s">
        <v>908</v>
      </c>
      <c r="G37" s="265">
        <v>3000.0</v>
      </c>
      <c r="I37" s="288"/>
      <c r="J37" s="289"/>
      <c r="K37" s="290"/>
    </row>
    <row r="38">
      <c r="A38" s="262">
        <v>33.0</v>
      </c>
      <c r="B38" s="284" t="s">
        <v>909</v>
      </c>
      <c r="C38" s="285">
        <v>45934.0</v>
      </c>
      <c r="D38" s="284" t="s">
        <v>910</v>
      </c>
      <c r="E38" s="286" t="s">
        <v>0</v>
      </c>
      <c r="F38" s="287" t="s">
        <v>911</v>
      </c>
      <c r="G38" s="265">
        <v>700.0</v>
      </c>
      <c r="I38" s="288"/>
      <c r="J38" s="289"/>
      <c r="K38" s="290"/>
    </row>
    <row r="39">
      <c r="A39" s="248">
        <v>34.0</v>
      </c>
      <c r="B39" s="284" t="s">
        <v>912</v>
      </c>
      <c r="C39" s="285">
        <v>45935.0</v>
      </c>
      <c r="D39" s="284" t="s">
        <v>913</v>
      </c>
      <c r="E39" s="286" t="s">
        <v>0</v>
      </c>
      <c r="F39" s="287" t="s">
        <v>914</v>
      </c>
      <c r="G39" s="265">
        <v>24166.66</v>
      </c>
      <c r="I39" s="288"/>
      <c r="J39" s="289"/>
      <c r="K39" s="290"/>
    </row>
    <row r="40">
      <c r="A40" s="256">
        <v>35.0</v>
      </c>
      <c r="B40" s="284" t="s">
        <v>915</v>
      </c>
      <c r="C40" s="285">
        <v>45945.0</v>
      </c>
      <c r="D40" s="284" t="s">
        <v>916</v>
      </c>
      <c r="E40" s="286" t="s">
        <v>825</v>
      </c>
      <c r="F40" s="287" t="s">
        <v>917</v>
      </c>
      <c r="G40" s="265">
        <v>3100.0</v>
      </c>
      <c r="I40" s="288"/>
      <c r="J40" s="289"/>
      <c r="K40" s="290"/>
    </row>
    <row r="41">
      <c r="A41" s="262">
        <v>36.0</v>
      </c>
      <c r="B41" s="284" t="s">
        <v>915</v>
      </c>
      <c r="C41" s="285">
        <v>45945.0</v>
      </c>
      <c r="D41" s="284" t="s">
        <v>918</v>
      </c>
      <c r="E41" s="286" t="s">
        <v>780</v>
      </c>
      <c r="F41" s="287" t="s">
        <v>919</v>
      </c>
      <c r="G41" s="265">
        <v>2000.0</v>
      </c>
      <c r="I41" s="288"/>
      <c r="J41" s="289"/>
      <c r="K41" s="290"/>
    </row>
    <row r="42">
      <c r="A42" s="248">
        <v>37.0</v>
      </c>
      <c r="B42" s="284" t="s">
        <v>841</v>
      </c>
      <c r="C42" s="273">
        <v>45991.0</v>
      </c>
      <c r="D42" s="284" t="s">
        <v>920</v>
      </c>
      <c r="E42" s="274" t="s">
        <v>0</v>
      </c>
      <c r="F42" s="275" t="s">
        <v>868</v>
      </c>
      <c r="G42" s="276">
        <v>2325.0</v>
      </c>
      <c r="I42" s="288"/>
      <c r="J42" s="289"/>
      <c r="K42" s="290"/>
    </row>
    <row r="43">
      <c r="A43" s="256">
        <v>38.0</v>
      </c>
      <c r="B43" s="109" t="s">
        <v>921</v>
      </c>
      <c r="C43" s="273">
        <v>46004.0</v>
      </c>
      <c r="D43" s="192" t="s">
        <v>922</v>
      </c>
      <c r="E43" s="274" t="s">
        <v>825</v>
      </c>
      <c r="F43" s="275" t="s">
        <v>923</v>
      </c>
      <c r="G43" s="276">
        <v>3000.0</v>
      </c>
      <c r="I43" s="288"/>
      <c r="J43" s="289"/>
      <c r="K43" s="290"/>
    </row>
    <row r="44">
      <c r="A44" s="262">
        <v>39.0</v>
      </c>
      <c r="B44" s="109" t="s">
        <v>924</v>
      </c>
      <c r="C44" s="273">
        <v>46061.0</v>
      </c>
      <c r="D44" s="192" t="s">
        <v>925</v>
      </c>
      <c r="E44" s="274" t="s">
        <v>0</v>
      </c>
      <c r="F44" s="275" t="s">
        <v>926</v>
      </c>
      <c r="G44" s="276">
        <v>600.0</v>
      </c>
      <c r="I44" s="288"/>
      <c r="J44" s="289"/>
      <c r="K44" s="290"/>
    </row>
    <row r="45">
      <c r="A45" s="262">
        <v>40.0</v>
      </c>
      <c r="B45" s="109" t="s">
        <v>927</v>
      </c>
      <c r="C45" s="273">
        <v>46060.0</v>
      </c>
      <c r="D45" s="192" t="s">
        <v>928</v>
      </c>
      <c r="E45" s="274" t="s">
        <v>780</v>
      </c>
      <c r="F45" s="275" t="s">
        <v>929</v>
      </c>
      <c r="G45" s="276">
        <v>3000.0</v>
      </c>
      <c r="I45" s="288"/>
      <c r="J45" s="289"/>
      <c r="K45" s="290"/>
    </row>
    <row r="46">
      <c r="A46" s="192">
        <v>41.0</v>
      </c>
      <c r="B46" s="192" t="s">
        <v>930</v>
      </c>
      <c r="C46" s="273">
        <v>46076.0</v>
      </c>
      <c r="D46" s="192" t="s">
        <v>931</v>
      </c>
      <c r="E46" s="274" t="s">
        <v>780</v>
      </c>
      <c r="F46" s="275" t="s">
        <v>932</v>
      </c>
      <c r="G46" s="276">
        <v>2000.0</v>
      </c>
      <c r="I46" s="288"/>
      <c r="J46" s="289"/>
      <c r="K46" s="290"/>
    </row>
    <row r="47">
      <c r="A47" s="192">
        <v>42.0</v>
      </c>
      <c r="B47" s="192" t="s">
        <v>930</v>
      </c>
      <c r="C47" s="273">
        <v>46077.0</v>
      </c>
      <c r="D47" s="192" t="s">
        <v>933</v>
      </c>
      <c r="E47" s="274" t="s">
        <v>0</v>
      </c>
      <c r="F47" s="275" t="s">
        <v>846</v>
      </c>
      <c r="G47" s="276">
        <v>1500.0</v>
      </c>
      <c r="I47" s="288"/>
      <c r="J47" s="289"/>
      <c r="K47" s="290"/>
    </row>
    <row r="48">
      <c r="A48" s="192">
        <v>43.0</v>
      </c>
      <c r="B48" s="192" t="s">
        <v>934</v>
      </c>
      <c r="C48" s="273">
        <v>46075.0</v>
      </c>
      <c r="D48" s="192" t="s">
        <v>935</v>
      </c>
      <c r="E48" s="274" t="s">
        <v>0</v>
      </c>
      <c r="F48" s="275" t="s">
        <v>936</v>
      </c>
      <c r="G48" s="276">
        <v>800.0</v>
      </c>
      <c r="I48" s="288"/>
      <c r="J48" s="289"/>
      <c r="K48" s="290"/>
    </row>
    <row r="49">
      <c r="A49" s="192">
        <v>44.0</v>
      </c>
      <c r="B49" s="192" t="s">
        <v>853</v>
      </c>
      <c r="C49" s="273">
        <v>46096.0</v>
      </c>
      <c r="D49" s="192" t="s">
        <v>937</v>
      </c>
      <c r="E49" s="274" t="s">
        <v>825</v>
      </c>
      <c r="F49" s="275" t="s">
        <v>914</v>
      </c>
      <c r="G49" s="276">
        <v>1250.0</v>
      </c>
      <c r="I49" s="288"/>
      <c r="J49" s="289"/>
      <c r="K49" s="290"/>
    </row>
    <row r="50">
      <c r="A50" s="192">
        <v>45.0</v>
      </c>
      <c r="B50" s="192" t="s">
        <v>938</v>
      </c>
      <c r="C50" s="273">
        <v>46098.0</v>
      </c>
      <c r="D50" s="192" t="s">
        <v>939</v>
      </c>
      <c r="E50" s="274" t="s">
        <v>780</v>
      </c>
      <c r="F50" s="275" t="s">
        <v>940</v>
      </c>
      <c r="G50" s="276">
        <v>3000.0</v>
      </c>
      <c r="I50" s="288"/>
      <c r="J50" s="289"/>
      <c r="K50" s="290"/>
    </row>
    <row r="51">
      <c r="A51" s="280"/>
      <c r="B51" s="280"/>
      <c r="C51" s="281"/>
      <c r="D51" s="291" t="s">
        <v>789</v>
      </c>
      <c r="E51" s="292"/>
      <c r="F51" s="293"/>
      <c r="G51" s="294">
        <f>SUM(G6:G50)</f>
        <v>115079.52</v>
      </c>
      <c r="I51" s="288"/>
      <c r="J51" s="289"/>
      <c r="K51" s="290"/>
    </row>
    <row r="52">
      <c r="A52" s="295"/>
      <c r="B52" s="295"/>
      <c r="C52" s="296"/>
      <c r="D52" s="295"/>
      <c r="E52" s="297"/>
      <c r="F52" s="298"/>
      <c r="G52" s="299"/>
      <c r="I52" s="288"/>
      <c r="J52" s="289"/>
      <c r="K52" s="290"/>
    </row>
    <row r="53">
      <c r="A53" s="295"/>
      <c r="B53" s="295"/>
      <c r="C53" s="296"/>
      <c r="D53" s="295"/>
      <c r="E53" s="297"/>
      <c r="F53" s="298"/>
      <c r="G53" s="299"/>
      <c r="I53" s="288"/>
      <c r="J53" s="289"/>
      <c r="K53" s="290"/>
    </row>
    <row r="54">
      <c r="A54" s="295"/>
      <c r="B54" s="295"/>
      <c r="C54" s="296"/>
      <c r="D54" s="295"/>
      <c r="E54" s="297"/>
      <c r="F54" s="298"/>
      <c r="G54" s="299"/>
      <c r="I54" s="288"/>
      <c r="J54" s="289"/>
      <c r="K54" s="290"/>
    </row>
    <row r="55">
      <c r="A55" s="295"/>
      <c r="B55" s="295"/>
      <c r="C55" s="296"/>
      <c r="D55" s="295"/>
      <c r="E55" s="297"/>
      <c r="F55" s="298"/>
      <c r="G55" s="299"/>
      <c r="I55" s="288"/>
      <c r="J55" s="289"/>
      <c r="K55" s="290"/>
    </row>
    <row r="56">
      <c r="A56" s="295"/>
      <c r="B56" s="295"/>
      <c r="C56" s="296"/>
      <c r="D56" s="295"/>
      <c r="E56" s="297"/>
      <c r="F56" s="298"/>
      <c r="G56" s="299"/>
      <c r="I56" s="288"/>
      <c r="J56" s="289"/>
      <c r="K56" s="290"/>
    </row>
    <row r="57">
      <c r="A57" s="295"/>
      <c r="B57" s="295"/>
      <c r="C57" s="296"/>
      <c r="D57" s="295"/>
      <c r="E57" s="297"/>
      <c r="F57" s="298"/>
      <c r="G57" s="299"/>
      <c r="I57" s="288"/>
      <c r="J57" s="289"/>
      <c r="K57" s="290"/>
    </row>
    <row r="58">
      <c r="A58" s="295"/>
      <c r="B58" s="295"/>
      <c r="C58" s="296"/>
      <c r="D58" s="295"/>
      <c r="E58" s="297"/>
      <c r="F58" s="298"/>
      <c r="G58" s="299"/>
      <c r="I58" s="288"/>
      <c r="J58" s="289"/>
      <c r="K58" s="290"/>
    </row>
    <row r="59">
      <c r="A59" s="295"/>
      <c r="B59" s="295"/>
      <c r="C59" s="296"/>
      <c r="D59" s="295"/>
      <c r="E59" s="297"/>
      <c r="F59" s="298"/>
      <c r="G59" s="299"/>
      <c r="I59" s="288"/>
      <c r="J59" s="289"/>
      <c r="K59" s="290"/>
    </row>
    <row r="60">
      <c r="A60" s="295"/>
      <c r="B60" s="295"/>
      <c r="C60" s="296"/>
      <c r="D60" s="295"/>
      <c r="E60" s="297"/>
      <c r="F60" s="298"/>
      <c r="G60" s="299"/>
      <c r="I60" s="288"/>
      <c r="J60" s="289"/>
      <c r="K60" s="290"/>
    </row>
    <row r="61">
      <c r="A61" s="295"/>
      <c r="B61" s="295"/>
      <c r="C61" s="296"/>
      <c r="D61" s="295"/>
      <c r="E61" s="297"/>
      <c r="F61" s="298"/>
      <c r="G61" s="299"/>
      <c r="I61" s="288"/>
      <c r="J61" s="289"/>
      <c r="K61" s="290"/>
    </row>
    <row r="62">
      <c r="A62" s="295"/>
      <c r="B62" s="295"/>
      <c r="C62" s="296"/>
      <c r="D62" s="295"/>
      <c r="E62" s="297"/>
      <c r="F62" s="298"/>
      <c r="G62" s="299"/>
      <c r="I62" s="288"/>
      <c r="J62" s="289"/>
      <c r="K62" s="290"/>
    </row>
    <row r="63">
      <c r="A63" s="295"/>
      <c r="B63" s="295"/>
      <c r="C63" s="296"/>
      <c r="D63" s="295"/>
      <c r="E63" s="297"/>
      <c r="F63" s="298"/>
      <c r="G63" s="299"/>
      <c r="I63" s="288"/>
      <c r="J63" s="289"/>
      <c r="K63" s="290"/>
    </row>
    <row r="64">
      <c r="A64" s="295"/>
      <c r="B64" s="295"/>
      <c r="C64" s="296"/>
      <c r="D64" s="295"/>
      <c r="E64" s="297"/>
      <c r="F64" s="298"/>
      <c r="G64" s="299"/>
      <c r="I64" s="288"/>
      <c r="J64" s="289"/>
      <c r="K64" s="290"/>
    </row>
    <row r="65">
      <c r="A65" s="295"/>
      <c r="B65" s="295"/>
      <c r="C65" s="296"/>
      <c r="D65" s="295"/>
      <c r="E65" s="297"/>
      <c r="F65" s="298"/>
      <c r="G65" s="299"/>
      <c r="I65" s="288"/>
      <c r="J65" s="289"/>
      <c r="K65" s="290"/>
    </row>
    <row r="66">
      <c r="A66" s="295"/>
      <c r="B66" s="295"/>
      <c r="C66" s="296"/>
      <c r="D66" s="295"/>
      <c r="E66" s="297"/>
      <c r="F66" s="298"/>
      <c r="G66" s="299"/>
      <c r="I66" s="288"/>
      <c r="J66" s="289"/>
      <c r="K66" s="290"/>
    </row>
    <row r="67">
      <c r="A67" s="295"/>
      <c r="B67" s="295"/>
      <c r="C67" s="296"/>
      <c r="D67" s="295"/>
      <c r="E67" s="297"/>
      <c r="F67" s="298"/>
      <c r="G67" s="299"/>
      <c r="I67" s="288"/>
      <c r="J67" s="289"/>
      <c r="K67" s="290"/>
    </row>
    <row r="68">
      <c r="A68" s="295"/>
      <c r="B68" s="295"/>
      <c r="C68" s="296"/>
      <c r="D68" s="295"/>
      <c r="E68" s="297"/>
      <c r="F68" s="298"/>
      <c r="G68" s="299"/>
      <c r="I68" s="288"/>
      <c r="J68" s="289"/>
      <c r="K68" s="290"/>
    </row>
    <row r="69">
      <c r="A69" s="295"/>
      <c r="B69" s="295"/>
      <c r="C69" s="296"/>
      <c r="D69" s="295"/>
      <c r="E69" s="297"/>
      <c r="F69" s="298"/>
      <c r="G69" s="299"/>
      <c r="I69" s="288"/>
      <c r="J69" s="289"/>
      <c r="K69" s="290"/>
    </row>
    <row r="70">
      <c r="A70" s="295"/>
      <c r="B70" s="295"/>
      <c r="C70" s="296"/>
      <c r="D70" s="295"/>
      <c r="E70" s="297"/>
      <c r="F70" s="298"/>
      <c r="G70" s="299"/>
      <c r="I70" s="288"/>
      <c r="J70" s="289"/>
      <c r="K70" s="290"/>
    </row>
    <row r="71">
      <c r="A71" s="295"/>
      <c r="B71" s="295"/>
      <c r="C71" s="296"/>
      <c r="D71" s="295"/>
      <c r="E71" s="297"/>
      <c r="F71" s="298"/>
      <c r="G71" s="299"/>
      <c r="I71" s="288"/>
      <c r="J71" s="289"/>
      <c r="K71" s="290"/>
    </row>
    <row r="72">
      <c r="A72" s="295"/>
      <c r="B72" s="295"/>
      <c r="C72" s="296"/>
      <c r="D72" s="295"/>
      <c r="E72" s="297"/>
      <c r="F72" s="298"/>
      <c r="G72" s="299"/>
      <c r="I72" s="288"/>
      <c r="J72" s="289"/>
      <c r="K72" s="290"/>
    </row>
    <row r="73">
      <c r="A73" s="295"/>
      <c r="B73" s="295"/>
      <c r="C73" s="296"/>
      <c r="D73" s="295"/>
      <c r="E73" s="297"/>
      <c r="F73" s="298"/>
      <c r="G73" s="299"/>
      <c r="I73" s="288"/>
      <c r="J73" s="289"/>
      <c r="K73" s="290"/>
    </row>
    <row r="74">
      <c r="A74" s="295"/>
      <c r="B74" s="295"/>
      <c r="C74" s="296"/>
      <c r="D74" s="295"/>
      <c r="E74" s="297"/>
      <c r="F74" s="298"/>
      <c r="G74" s="299"/>
      <c r="I74" s="288"/>
      <c r="J74" s="289"/>
      <c r="K74" s="290"/>
    </row>
    <row r="75">
      <c r="A75" s="295"/>
      <c r="B75" s="295"/>
      <c r="C75" s="296"/>
      <c r="D75" s="295"/>
      <c r="E75" s="297"/>
      <c r="F75" s="298"/>
      <c r="G75" s="299"/>
      <c r="I75" s="288"/>
      <c r="J75" s="289"/>
      <c r="K75" s="290"/>
    </row>
    <row r="76">
      <c r="A76" s="295"/>
      <c r="B76" s="295"/>
      <c r="C76" s="296"/>
      <c r="D76" s="295"/>
      <c r="E76" s="297"/>
      <c r="F76" s="298"/>
      <c r="G76" s="299"/>
      <c r="I76" s="288"/>
      <c r="J76" s="289"/>
      <c r="K76" s="290"/>
    </row>
    <row r="77">
      <c r="A77" s="295"/>
      <c r="B77" s="295"/>
      <c r="C77" s="296"/>
      <c r="D77" s="295"/>
      <c r="E77" s="297"/>
      <c r="F77" s="298"/>
      <c r="G77" s="299"/>
      <c r="I77" s="288"/>
      <c r="J77" s="289"/>
      <c r="K77" s="290"/>
    </row>
    <row r="78">
      <c r="A78" s="295"/>
      <c r="B78" s="295"/>
      <c r="C78" s="296"/>
      <c r="D78" s="295"/>
      <c r="E78" s="297"/>
      <c r="F78" s="298"/>
      <c r="G78" s="299"/>
      <c r="I78" s="288"/>
      <c r="J78" s="289"/>
      <c r="K78" s="290"/>
    </row>
    <row r="79">
      <c r="A79" s="295"/>
      <c r="B79" s="295"/>
      <c r="C79" s="296"/>
      <c r="D79" s="295"/>
      <c r="E79" s="297"/>
      <c r="F79" s="298"/>
      <c r="G79" s="299"/>
      <c r="I79" s="288"/>
      <c r="J79" s="289"/>
      <c r="K79" s="290"/>
    </row>
    <row r="80">
      <c r="A80" s="295"/>
      <c r="B80" s="295"/>
      <c r="C80" s="296"/>
      <c r="D80" s="295"/>
      <c r="E80" s="297"/>
      <c r="F80" s="298"/>
      <c r="G80" s="299"/>
      <c r="I80" s="288"/>
      <c r="J80" s="289"/>
      <c r="K80" s="290"/>
    </row>
    <row r="81">
      <c r="A81" s="295"/>
      <c r="B81" s="295"/>
      <c r="C81" s="296"/>
      <c r="D81" s="295"/>
      <c r="E81" s="297"/>
      <c r="F81" s="298"/>
      <c r="G81" s="299"/>
      <c r="I81" s="288"/>
      <c r="J81" s="289"/>
      <c r="K81" s="290"/>
    </row>
    <row r="82">
      <c r="A82" s="295"/>
      <c r="B82" s="295"/>
      <c r="C82" s="296"/>
      <c r="D82" s="295"/>
      <c r="E82" s="297"/>
      <c r="F82" s="298"/>
      <c r="G82" s="299"/>
      <c r="I82" s="288"/>
      <c r="J82" s="289"/>
      <c r="K82" s="290"/>
    </row>
    <row r="83">
      <c r="A83" s="295"/>
      <c r="B83" s="295"/>
      <c r="C83" s="296"/>
      <c r="D83" s="295"/>
      <c r="E83" s="297"/>
      <c r="F83" s="298"/>
      <c r="G83" s="299"/>
      <c r="I83" s="288"/>
      <c r="J83" s="289"/>
      <c r="K83" s="290"/>
    </row>
    <row r="84">
      <c r="A84" s="295"/>
      <c r="B84" s="295"/>
      <c r="C84" s="296"/>
      <c r="D84" s="295"/>
      <c r="E84" s="297"/>
      <c r="F84" s="298"/>
      <c r="G84" s="299"/>
      <c r="I84" s="288"/>
      <c r="J84" s="289"/>
      <c r="K84" s="290"/>
    </row>
    <row r="85">
      <c r="A85" s="295"/>
      <c r="B85" s="295"/>
      <c r="C85" s="296"/>
      <c r="D85" s="295"/>
      <c r="E85" s="297"/>
      <c r="F85" s="298"/>
      <c r="G85" s="299"/>
      <c r="I85" s="288"/>
      <c r="J85" s="289"/>
      <c r="K85" s="290"/>
    </row>
    <row r="86">
      <c r="A86" s="295"/>
      <c r="B86" s="295"/>
      <c r="C86" s="296"/>
      <c r="D86" s="295"/>
      <c r="E86" s="297"/>
      <c r="F86" s="298"/>
      <c r="G86" s="299"/>
      <c r="I86" s="288"/>
      <c r="J86" s="289"/>
      <c r="K86" s="290"/>
    </row>
    <row r="87">
      <c r="A87" s="295"/>
      <c r="B87" s="295"/>
      <c r="C87" s="296"/>
      <c r="D87" s="295"/>
      <c r="E87" s="297"/>
      <c r="F87" s="298"/>
      <c r="G87" s="299"/>
      <c r="I87" s="288"/>
      <c r="J87" s="289"/>
      <c r="K87" s="290"/>
    </row>
    <row r="88">
      <c r="A88" s="295"/>
      <c r="B88" s="295"/>
      <c r="C88" s="296"/>
      <c r="D88" s="295"/>
      <c r="E88" s="297"/>
      <c r="F88" s="298"/>
      <c r="G88" s="299"/>
      <c r="I88" s="288"/>
      <c r="J88" s="289"/>
      <c r="K88" s="290"/>
    </row>
    <row r="89">
      <c r="A89" s="295"/>
      <c r="B89" s="295"/>
      <c r="C89" s="296"/>
      <c r="D89" s="295"/>
      <c r="E89" s="297"/>
      <c r="F89" s="298"/>
      <c r="G89" s="299"/>
      <c r="I89" s="288"/>
      <c r="J89" s="289"/>
      <c r="K89" s="290"/>
    </row>
    <row r="90">
      <c r="A90" s="295"/>
      <c r="B90" s="295"/>
      <c r="C90" s="296"/>
      <c r="D90" s="295"/>
      <c r="E90" s="297"/>
      <c r="F90" s="298"/>
      <c r="G90" s="299"/>
      <c r="I90" s="288"/>
      <c r="J90" s="289"/>
      <c r="K90" s="290"/>
    </row>
    <row r="91">
      <c r="A91" s="295"/>
      <c r="B91" s="295"/>
      <c r="C91" s="296"/>
      <c r="D91" s="295"/>
      <c r="E91" s="297"/>
      <c r="F91" s="298"/>
      <c r="G91" s="299"/>
      <c r="I91" s="288"/>
      <c r="J91" s="289"/>
      <c r="K91" s="290"/>
    </row>
    <row r="92">
      <c r="A92" s="295"/>
      <c r="B92" s="295"/>
      <c r="C92" s="296"/>
      <c r="D92" s="295"/>
      <c r="E92" s="297"/>
      <c r="F92" s="298"/>
      <c r="G92" s="299"/>
      <c r="I92" s="288"/>
      <c r="J92" s="289"/>
      <c r="K92" s="290"/>
    </row>
    <row r="93">
      <c r="A93" s="295"/>
      <c r="B93" s="295"/>
      <c r="C93" s="296"/>
      <c r="D93" s="295"/>
      <c r="E93" s="297"/>
      <c r="F93" s="298"/>
      <c r="G93" s="299"/>
      <c r="I93" s="288"/>
      <c r="J93" s="289"/>
      <c r="K93" s="290"/>
    </row>
    <row r="94">
      <c r="A94" s="295"/>
      <c r="B94" s="295"/>
      <c r="C94" s="296"/>
      <c r="D94" s="295"/>
      <c r="E94" s="297"/>
      <c r="F94" s="298"/>
      <c r="G94" s="299"/>
      <c r="I94" s="288"/>
      <c r="J94" s="289"/>
      <c r="K94" s="290"/>
    </row>
    <row r="95">
      <c r="A95" s="295"/>
      <c r="B95" s="295"/>
      <c r="C95" s="296"/>
      <c r="D95" s="295"/>
      <c r="E95" s="297"/>
      <c r="F95" s="298"/>
      <c r="G95" s="299"/>
      <c r="I95" s="288"/>
      <c r="J95" s="289"/>
      <c r="K95" s="290"/>
    </row>
    <row r="96">
      <c r="A96" s="295"/>
      <c r="B96" s="295"/>
      <c r="C96" s="296"/>
      <c r="D96" s="295"/>
      <c r="E96" s="297"/>
      <c r="F96" s="298"/>
      <c r="G96" s="299"/>
      <c r="I96" s="288"/>
      <c r="J96" s="289"/>
      <c r="K96" s="290"/>
    </row>
    <row r="97">
      <c r="A97" s="295"/>
      <c r="B97" s="295"/>
      <c r="C97" s="296"/>
      <c r="D97" s="295"/>
      <c r="E97" s="297"/>
      <c r="F97" s="298"/>
      <c r="G97" s="299"/>
      <c r="I97" s="288"/>
      <c r="J97" s="289"/>
      <c r="K97" s="290"/>
    </row>
    <row r="98">
      <c r="A98" s="295"/>
      <c r="B98" s="295"/>
      <c r="C98" s="296"/>
      <c r="D98" s="295"/>
      <c r="E98" s="297"/>
      <c r="F98" s="298"/>
      <c r="G98" s="299"/>
      <c r="I98" s="288"/>
      <c r="J98" s="289"/>
      <c r="K98" s="290"/>
    </row>
    <row r="99">
      <c r="A99" s="295"/>
      <c r="B99" s="295"/>
      <c r="C99" s="296"/>
      <c r="D99" s="295"/>
      <c r="E99" s="297"/>
      <c r="F99" s="298"/>
      <c r="G99" s="299"/>
      <c r="I99" s="288"/>
      <c r="J99" s="289"/>
      <c r="K99" s="290"/>
    </row>
    <row r="100">
      <c r="A100" s="295"/>
      <c r="B100" s="295"/>
      <c r="C100" s="296"/>
      <c r="D100" s="295"/>
      <c r="E100" s="297"/>
      <c r="F100" s="298"/>
      <c r="G100" s="299"/>
      <c r="I100" s="288"/>
      <c r="J100" s="289"/>
      <c r="K100" s="290"/>
    </row>
    <row r="101">
      <c r="A101" s="295"/>
      <c r="B101" s="295"/>
      <c r="C101" s="296"/>
      <c r="D101" s="295"/>
      <c r="E101" s="297"/>
      <c r="F101" s="298"/>
      <c r="G101" s="299"/>
      <c r="I101" s="288"/>
      <c r="J101" s="289"/>
      <c r="K101" s="290"/>
    </row>
    <row r="102">
      <c r="A102" s="295"/>
      <c r="B102" s="295"/>
      <c r="C102" s="296"/>
      <c r="D102" s="295"/>
      <c r="E102" s="297"/>
      <c r="F102" s="298"/>
      <c r="G102" s="299"/>
      <c r="I102" s="288"/>
      <c r="J102" s="289"/>
      <c r="K102" s="290"/>
    </row>
    <row r="103">
      <c r="A103" s="295"/>
      <c r="B103" s="295"/>
      <c r="C103" s="296"/>
      <c r="D103" s="295"/>
      <c r="E103" s="297"/>
      <c r="F103" s="298"/>
      <c r="G103" s="299"/>
      <c r="I103" s="288"/>
      <c r="J103" s="289"/>
      <c r="K103" s="290"/>
    </row>
    <row r="104">
      <c r="A104" s="295"/>
      <c r="B104" s="295"/>
      <c r="C104" s="296"/>
      <c r="D104" s="295"/>
      <c r="E104" s="297"/>
      <c r="F104" s="298"/>
      <c r="G104" s="299"/>
      <c r="I104" s="288"/>
      <c r="J104" s="289"/>
      <c r="K104" s="290"/>
    </row>
    <row r="105">
      <c r="A105" s="295"/>
      <c r="B105" s="295"/>
      <c r="C105" s="296"/>
      <c r="D105" s="295"/>
      <c r="E105" s="297"/>
      <c r="F105" s="298"/>
      <c r="G105" s="299"/>
      <c r="I105" s="288"/>
      <c r="J105" s="289"/>
      <c r="K105" s="290"/>
    </row>
    <row r="106">
      <c r="A106" s="295"/>
      <c r="B106" s="295"/>
      <c r="C106" s="296"/>
      <c r="D106" s="295"/>
      <c r="E106" s="297"/>
      <c r="F106" s="298"/>
      <c r="G106" s="299"/>
      <c r="I106" s="288"/>
      <c r="J106" s="289"/>
      <c r="K106" s="290"/>
    </row>
    <row r="107">
      <c r="A107" s="295"/>
      <c r="B107" s="295"/>
      <c r="C107" s="296"/>
      <c r="D107" s="295"/>
      <c r="E107" s="297"/>
      <c r="F107" s="298"/>
      <c r="G107" s="299"/>
      <c r="I107" s="288"/>
      <c r="J107" s="289"/>
      <c r="K107" s="290"/>
    </row>
    <row r="108">
      <c r="A108" s="295"/>
      <c r="B108" s="295"/>
      <c r="C108" s="296"/>
      <c r="D108" s="295"/>
      <c r="E108" s="297"/>
      <c r="F108" s="298"/>
      <c r="G108" s="299"/>
      <c r="I108" s="288"/>
      <c r="J108" s="289"/>
      <c r="K108" s="290"/>
    </row>
    <row r="109">
      <c r="A109" s="295"/>
      <c r="B109" s="295"/>
      <c r="C109" s="296"/>
      <c r="D109" s="295"/>
      <c r="E109" s="297"/>
      <c r="F109" s="298"/>
      <c r="G109" s="299"/>
      <c r="I109" s="288"/>
      <c r="J109" s="289"/>
      <c r="K109" s="290"/>
    </row>
    <row r="110">
      <c r="A110" s="295"/>
      <c r="B110" s="295"/>
      <c r="C110" s="296"/>
      <c r="D110" s="295"/>
      <c r="E110" s="297"/>
      <c r="F110" s="298"/>
      <c r="G110" s="299"/>
      <c r="I110" s="288"/>
      <c r="J110" s="289"/>
      <c r="K110" s="290"/>
    </row>
    <row r="111">
      <c r="A111" s="295"/>
      <c r="B111" s="295"/>
      <c r="C111" s="296"/>
      <c r="D111" s="295"/>
      <c r="E111" s="297"/>
      <c r="F111" s="298"/>
      <c r="G111" s="299"/>
      <c r="I111" s="288"/>
      <c r="J111" s="289"/>
      <c r="K111" s="290"/>
    </row>
    <row r="112">
      <c r="A112" s="295"/>
      <c r="B112" s="295"/>
      <c r="C112" s="296"/>
      <c r="D112" s="295"/>
      <c r="E112" s="297"/>
      <c r="F112" s="298"/>
      <c r="G112" s="299"/>
      <c r="I112" s="288"/>
      <c r="J112" s="289"/>
      <c r="K112" s="290"/>
    </row>
    <row r="113">
      <c r="A113" s="295"/>
      <c r="B113" s="295"/>
      <c r="C113" s="296"/>
      <c r="D113" s="295"/>
      <c r="E113" s="297"/>
      <c r="F113" s="298"/>
      <c r="G113" s="299"/>
      <c r="I113" s="288"/>
      <c r="J113" s="289"/>
      <c r="K113" s="290"/>
    </row>
    <row r="114">
      <c r="A114" s="295"/>
      <c r="B114" s="295"/>
      <c r="C114" s="296"/>
      <c r="D114" s="295"/>
      <c r="E114" s="297"/>
      <c r="F114" s="298"/>
      <c r="G114" s="299"/>
      <c r="I114" s="288"/>
      <c r="J114" s="289"/>
      <c r="K114" s="290"/>
    </row>
    <row r="115">
      <c r="A115" s="295"/>
      <c r="B115" s="295"/>
      <c r="C115" s="296"/>
      <c r="D115" s="295"/>
      <c r="E115" s="297"/>
      <c r="F115" s="298"/>
      <c r="G115" s="299"/>
      <c r="I115" s="288"/>
      <c r="J115" s="289"/>
      <c r="K115" s="290"/>
    </row>
    <row r="116">
      <c r="A116" s="295"/>
      <c r="B116" s="295"/>
      <c r="C116" s="296"/>
      <c r="D116" s="295"/>
      <c r="E116" s="297"/>
      <c r="F116" s="298"/>
      <c r="G116" s="299"/>
      <c r="I116" s="288"/>
      <c r="J116" s="289"/>
      <c r="K116" s="290"/>
    </row>
    <row r="117">
      <c r="A117" s="295"/>
      <c r="B117" s="295"/>
      <c r="C117" s="296"/>
      <c r="D117" s="295"/>
      <c r="E117" s="297"/>
      <c r="F117" s="298"/>
      <c r="G117" s="299"/>
      <c r="I117" s="288"/>
      <c r="J117" s="289"/>
      <c r="K117" s="290"/>
    </row>
    <row r="118">
      <c r="A118" s="295"/>
      <c r="B118" s="295"/>
      <c r="C118" s="296"/>
      <c r="D118" s="295"/>
      <c r="E118" s="297"/>
      <c r="F118" s="298"/>
      <c r="G118" s="299"/>
      <c r="I118" s="288"/>
      <c r="J118" s="289"/>
      <c r="K118" s="290"/>
    </row>
    <row r="119">
      <c r="A119" s="295"/>
      <c r="B119" s="295"/>
      <c r="C119" s="296"/>
      <c r="D119" s="295"/>
      <c r="E119" s="297"/>
      <c r="F119" s="298"/>
      <c r="G119" s="299"/>
      <c r="I119" s="288"/>
      <c r="J119" s="289"/>
      <c r="K119" s="290"/>
    </row>
    <row r="120">
      <c r="A120" s="295"/>
      <c r="B120" s="295"/>
      <c r="C120" s="296"/>
      <c r="D120" s="295"/>
      <c r="E120" s="297"/>
      <c r="F120" s="298"/>
      <c r="G120" s="299"/>
      <c r="I120" s="288"/>
      <c r="J120" s="289"/>
      <c r="K120" s="290"/>
    </row>
    <row r="121">
      <c r="A121" s="295"/>
      <c r="B121" s="295"/>
      <c r="C121" s="296"/>
      <c r="D121" s="295"/>
      <c r="E121" s="297"/>
      <c r="F121" s="298"/>
      <c r="G121" s="299"/>
      <c r="I121" s="288"/>
      <c r="J121" s="289"/>
      <c r="K121" s="290"/>
    </row>
    <row r="122">
      <c r="A122" s="295"/>
      <c r="B122" s="295"/>
      <c r="C122" s="296"/>
      <c r="D122" s="295"/>
      <c r="E122" s="297"/>
      <c r="F122" s="298"/>
      <c r="G122" s="299"/>
      <c r="I122" s="288"/>
      <c r="J122" s="289"/>
      <c r="K122" s="290"/>
    </row>
    <row r="123">
      <c r="A123" s="295"/>
      <c r="B123" s="295"/>
      <c r="C123" s="296"/>
      <c r="D123" s="295"/>
      <c r="E123" s="297"/>
      <c r="F123" s="298"/>
      <c r="G123" s="299"/>
      <c r="I123" s="288"/>
      <c r="J123" s="289"/>
      <c r="K123" s="290"/>
    </row>
    <row r="124">
      <c r="A124" s="295"/>
      <c r="B124" s="295"/>
      <c r="C124" s="296"/>
      <c r="D124" s="295"/>
      <c r="E124" s="297"/>
      <c r="F124" s="298"/>
      <c r="G124" s="299"/>
      <c r="I124" s="288"/>
      <c r="J124" s="289"/>
      <c r="K124" s="290"/>
    </row>
    <row r="125">
      <c r="A125" s="295"/>
      <c r="B125" s="295"/>
      <c r="C125" s="296"/>
      <c r="D125" s="295"/>
      <c r="E125" s="297"/>
      <c r="F125" s="298"/>
      <c r="G125" s="299"/>
      <c r="I125" s="288"/>
      <c r="J125" s="289"/>
      <c r="K125" s="290"/>
    </row>
    <row r="126">
      <c r="A126" s="295"/>
      <c r="B126" s="295"/>
      <c r="C126" s="296"/>
      <c r="D126" s="295"/>
      <c r="E126" s="297"/>
      <c r="F126" s="298"/>
      <c r="G126" s="299"/>
      <c r="I126" s="288"/>
      <c r="J126" s="289"/>
      <c r="K126" s="290"/>
    </row>
    <row r="127">
      <c r="A127" s="295"/>
      <c r="B127" s="295"/>
      <c r="C127" s="296"/>
      <c r="D127" s="295"/>
      <c r="E127" s="297"/>
      <c r="F127" s="298"/>
      <c r="G127" s="299"/>
      <c r="I127" s="288"/>
      <c r="J127" s="289"/>
      <c r="K127" s="290"/>
    </row>
    <row r="128">
      <c r="A128" s="295"/>
      <c r="B128" s="295"/>
      <c r="C128" s="296"/>
      <c r="D128" s="295"/>
      <c r="E128" s="297"/>
      <c r="F128" s="298"/>
      <c r="G128" s="299"/>
      <c r="I128" s="288"/>
      <c r="J128" s="289"/>
      <c r="K128" s="290"/>
    </row>
    <row r="129">
      <c r="A129" s="295"/>
      <c r="B129" s="295"/>
      <c r="C129" s="296"/>
      <c r="D129" s="295"/>
      <c r="E129" s="297"/>
      <c r="F129" s="298"/>
      <c r="G129" s="299"/>
      <c r="I129" s="288"/>
      <c r="J129" s="289"/>
      <c r="K129" s="290"/>
    </row>
    <row r="130">
      <c r="A130" s="295"/>
      <c r="B130" s="295"/>
      <c r="C130" s="296"/>
      <c r="D130" s="295"/>
      <c r="E130" s="297"/>
      <c r="F130" s="298"/>
      <c r="G130" s="299"/>
      <c r="I130" s="288"/>
      <c r="J130" s="289"/>
      <c r="K130" s="290"/>
    </row>
    <row r="131">
      <c r="A131" s="295"/>
      <c r="B131" s="295"/>
      <c r="C131" s="296"/>
      <c r="D131" s="295"/>
      <c r="E131" s="297"/>
      <c r="F131" s="298"/>
      <c r="G131" s="299"/>
      <c r="I131" s="288"/>
      <c r="J131" s="289"/>
      <c r="K131" s="290"/>
    </row>
    <row r="132">
      <c r="A132" s="295"/>
      <c r="B132" s="295"/>
      <c r="C132" s="296"/>
      <c r="D132" s="295"/>
      <c r="E132" s="297"/>
      <c r="F132" s="298"/>
      <c r="G132" s="299"/>
      <c r="I132" s="288"/>
      <c r="J132" s="289"/>
      <c r="K132" s="290"/>
    </row>
    <row r="133">
      <c r="A133" s="295"/>
      <c r="B133" s="295"/>
      <c r="C133" s="296"/>
      <c r="D133" s="295"/>
      <c r="E133" s="297"/>
      <c r="F133" s="298"/>
      <c r="G133" s="299"/>
      <c r="I133" s="288"/>
      <c r="J133" s="289"/>
      <c r="K133" s="290"/>
    </row>
    <row r="134">
      <c r="A134" s="295"/>
      <c r="B134" s="295"/>
      <c r="C134" s="296"/>
      <c r="D134" s="295"/>
      <c r="E134" s="297"/>
      <c r="F134" s="298"/>
      <c r="G134" s="299"/>
      <c r="I134" s="288"/>
      <c r="J134" s="289"/>
      <c r="K134" s="290"/>
    </row>
    <row r="135">
      <c r="A135" s="295"/>
      <c r="B135" s="295"/>
      <c r="C135" s="296"/>
      <c r="D135" s="295"/>
      <c r="E135" s="297"/>
      <c r="F135" s="298"/>
      <c r="G135" s="299"/>
      <c r="I135" s="288"/>
      <c r="J135" s="289"/>
      <c r="K135" s="290"/>
    </row>
    <row r="136">
      <c r="A136" s="295"/>
      <c r="B136" s="295"/>
      <c r="C136" s="296"/>
      <c r="D136" s="295"/>
      <c r="E136" s="297"/>
      <c r="F136" s="298"/>
      <c r="G136" s="299"/>
      <c r="I136" s="288"/>
      <c r="J136" s="289"/>
      <c r="K136" s="290"/>
    </row>
    <row r="137">
      <c r="A137" s="295"/>
      <c r="B137" s="295"/>
      <c r="C137" s="296"/>
      <c r="D137" s="295"/>
      <c r="E137" s="297"/>
      <c r="F137" s="298"/>
      <c r="G137" s="299"/>
      <c r="I137" s="288"/>
      <c r="J137" s="289"/>
      <c r="K137" s="290"/>
    </row>
    <row r="138">
      <c r="A138" s="295"/>
      <c r="B138" s="295"/>
      <c r="C138" s="296"/>
      <c r="D138" s="295"/>
      <c r="E138" s="297"/>
      <c r="F138" s="298"/>
      <c r="G138" s="299"/>
      <c r="I138" s="288"/>
      <c r="J138" s="289"/>
      <c r="K138" s="290"/>
    </row>
    <row r="139">
      <c r="A139" s="295"/>
      <c r="B139" s="295"/>
      <c r="C139" s="296"/>
      <c r="D139" s="295"/>
      <c r="E139" s="297"/>
      <c r="F139" s="298"/>
      <c r="G139" s="299"/>
      <c r="I139" s="288"/>
      <c r="J139" s="289"/>
      <c r="K139" s="290"/>
    </row>
    <row r="140">
      <c r="A140" s="295"/>
      <c r="B140" s="295"/>
      <c r="C140" s="296"/>
      <c r="D140" s="295"/>
      <c r="E140" s="297"/>
      <c r="F140" s="298"/>
      <c r="G140" s="299"/>
      <c r="I140" s="288"/>
      <c r="J140" s="289"/>
      <c r="K140" s="290"/>
    </row>
    <row r="141">
      <c r="A141" s="295"/>
      <c r="B141" s="295"/>
      <c r="C141" s="296"/>
      <c r="D141" s="295"/>
      <c r="E141" s="297"/>
      <c r="F141" s="298"/>
      <c r="G141" s="299"/>
      <c r="I141" s="288"/>
      <c r="J141" s="289"/>
      <c r="K141" s="290"/>
    </row>
    <row r="142">
      <c r="A142" s="295"/>
      <c r="B142" s="295"/>
      <c r="C142" s="296"/>
      <c r="D142" s="295"/>
      <c r="E142" s="297"/>
      <c r="F142" s="298"/>
      <c r="G142" s="299"/>
      <c r="I142" s="288"/>
      <c r="J142" s="289"/>
      <c r="K142" s="290"/>
    </row>
    <row r="143">
      <c r="A143" s="295"/>
      <c r="B143" s="295"/>
      <c r="C143" s="296"/>
      <c r="D143" s="295"/>
      <c r="E143" s="297"/>
      <c r="F143" s="298"/>
      <c r="G143" s="299"/>
      <c r="I143" s="288"/>
      <c r="J143" s="289"/>
      <c r="K143" s="290"/>
    </row>
    <row r="144">
      <c r="A144" s="295"/>
      <c r="B144" s="295"/>
      <c r="C144" s="296"/>
      <c r="D144" s="295"/>
      <c r="E144" s="297"/>
      <c r="F144" s="298"/>
      <c r="G144" s="299"/>
      <c r="I144" s="288"/>
      <c r="J144" s="289"/>
      <c r="K144" s="290"/>
    </row>
    <row r="145">
      <c r="A145" s="295"/>
      <c r="B145" s="295"/>
      <c r="C145" s="296"/>
      <c r="D145" s="295"/>
      <c r="E145" s="297"/>
      <c r="F145" s="298"/>
      <c r="G145" s="299"/>
      <c r="I145" s="288"/>
      <c r="J145" s="289"/>
      <c r="K145" s="290"/>
    </row>
    <row r="146">
      <c r="A146" s="295"/>
      <c r="B146" s="295"/>
      <c r="C146" s="296"/>
      <c r="D146" s="295"/>
      <c r="E146" s="297"/>
      <c r="F146" s="298"/>
      <c r="G146" s="299"/>
      <c r="I146" s="288"/>
      <c r="J146" s="289"/>
      <c r="K146" s="290"/>
    </row>
    <row r="147">
      <c r="A147" s="295"/>
      <c r="B147" s="295"/>
      <c r="C147" s="296"/>
      <c r="D147" s="295"/>
      <c r="E147" s="297"/>
      <c r="F147" s="298"/>
      <c r="G147" s="299"/>
      <c r="I147" s="288"/>
      <c r="J147" s="289"/>
      <c r="K147" s="290"/>
    </row>
    <row r="148">
      <c r="A148" s="295"/>
      <c r="B148" s="295"/>
      <c r="C148" s="296"/>
      <c r="D148" s="295"/>
      <c r="E148" s="297"/>
      <c r="F148" s="298"/>
      <c r="G148" s="299"/>
      <c r="I148" s="288"/>
      <c r="J148" s="289"/>
      <c r="K148" s="290"/>
    </row>
    <row r="149">
      <c r="A149" s="295"/>
      <c r="B149" s="295"/>
      <c r="C149" s="296"/>
      <c r="D149" s="295"/>
      <c r="E149" s="297"/>
      <c r="F149" s="298"/>
      <c r="G149" s="299"/>
      <c r="I149" s="288"/>
      <c r="J149" s="289"/>
      <c r="K149" s="290"/>
    </row>
    <row r="150">
      <c r="A150" s="295"/>
      <c r="B150" s="295"/>
      <c r="C150" s="296"/>
      <c r="D150" s="295"/>
      <c r="E150" s="297"/>
      <c r="F150" s="298"/>
      <c r="G150" s="299"/>
      <c r="I150" s="288"/>
      <c r="J150" s="289"/>
      <c r="K150" s="290"/>
    </row>
    <row r="151">
      <c r="A151" s="295"/>
      <c r="B151" s="295"/>
      <c r="C151" s="296"/>
      <c r="D151" s="295"/>
      <c r="E151" s="297"/>
      <c r="F151" s="298"/>
      <c r="G151" s="299"/>
      <c r="I151" s="288"/>
      <c r="J151" s="289"/>
      <c r="K151" s="290"/>
    </row>
    <row r="152">
      <c r="A152" s="295"/>
      <c r="B152" s="295"/>
      <c r="C152" s="296"/>
      <c r="D152" s="295"/>
      <c r="E152" s="297"/>
      <c r="F152" s="298"/>
      <c r="G152" s="299"/>
      <c r="I152" s="288"/>
      <c r="J152" s="289"/>
      <c r="K152" s="290"/>
    </row>
    <row r="153">
      <c r="A153" s="295"/>
      <c r="B153" s="295"/>
      <c r="C153" s="296"/>
      <c r="D153" s="295"/>
      <c r="E153" s="297"/>
      <c r="F153" s="298"/>
      <c r="G153" s="299"/>
      <c r="I153" s="288"/>
      <c r="J153" s="289"/>
      <c r="K153" s="290"/>
    </row>
    <row r="154">
      <c r="A154" s="295"/>
      <c r="B154" s="295"/>
      <c r="C154" s="296"/>
      <c r="D154" s="295"/>
      <c r="E154" s="297"/>
      <c r="F154" s="298"/>
      <c r="G154" s="299"/>
      <c r="I154" s="288"/>
      <c r="J154" s="289"/>
      <c r="K154" s="290"/>
    </row>
    <row r="155">
      <c r="A155" s="295"/>
      <c r="B155" s="295"/>
      <c r="C155" s="296"/>
      <c r="D155" s="295"/>
      <c r="E155" s="297"/>
      <c r="F155" s="298"/>
      <c r="G155" s="299"/>
      <c r="I155" s="288"/>
      <c r="J155" s="289"/>
      <c r="K155" s="290"/>
    </row>
    <row r="156">
      <c r="A156" s="295"/>
      <c r="B156" s="295"/>
      <c r="C156" s="296"/>
      <c r="D156" s="295"/>
      <c r="E156" s="297"/>
      <c r="F156" s="298"/>
      <c r="G156" s="299"/>
      <c r="I156" s="288"/>
      <c r="J156" s="289"/>
      <c r="K156" s="290"/>
    </row>
    <row r="157">
      <c r="A157" s="295"/>
      <c r="B157" s="295"/>
      <c r="C157" s="296"/>
      <c r="D157" s="295"/>
      <c r="E157" s="297"/>
      <c r="F157" s="298"/>
      <c r="G157" s="299"/>
      <c r="I157" s="288"/>
      <c r="J157" s="289"/>
      <c r="K157" s="290"/>
    </row>
    <row r="158">
      <c r="A158" s="295"/>
      <c r="B158" s="295"/>
      <c r="C158" s="296"/>
      <c r="D158" s="295"/>
      <c r="E158" s="297"/>
      <c r="F158" s="298"/>
      <c r="G158" s="299"/>
      <c r="I158" s="288"/>
      <c r="J158" s="289"/>
      <c r="K158" s="290"/>
    </row>
    <row r="159">
      <c r="A159" s="295"/>
      <c r="B159" s="295"/>
      <c r="C159" s="296"/>
      <c r="D159" s="295"/>
      <c r="E159" s="297"/>
      <c r="F159" s="298"/>
      <c r="G159" s="299"/>
      <c r="I159" s="288"/>
      <c r="J159" s="289"/>
      <c r="K159" s="290"/>
    </row>
    <row r="160">
      <c r="A160" s="295"/>
      <c r="B160" s="295"/>
      <c r="C160" s="296"/>
      <c r="D160" s="295"/>
      <c r="E160" s="297"/>
      <c r="F160" s="298"/>
      <c r="G160" s="299"/>
      <c r="I160" s="288"/>
      <c r="J160" s="289"/>
      <c r="K160" s="290"/>
    </row>
    <row r="161">
      <c r="A161" s="295"/>
      <c r="B161" s="295"/>
      <c r="C161" s="296"/>
      <c r="D161" s="295"/>
      <c r="E161" s="297"/>
      <c r="F161" s="298"/>
      <c r="G161" s="299"/>
      <c r="I161" s="288"/>
      <c r="J161" s="289"/>
      <c r="K161" s="290"/>
    </row>
    <row r="162">
      <c r="A162" s="295"/>
      <c r="B162" s="295"/>
      <c r="C162" s="296"/>
      <c r="D162" s="295"/>
      <c r="E162" s="297"/>
      <c r="F162" s="298"/>
      <c r="G162" s="299"/>
      <c r="I162" s="288"/>
      <c r="J162" s="289"/>
      <c r="K162" s="290"/>
    </row>
    <row r="163">
      <c r="A163" s="295"/>
      <c r="B163" s="295"/>
      <c r="C163" s="296"/>
      <c r="D163" s="295"/>
      <c r="E163" s="297"/>
      <c r="F163" s="298"/>
      <c r="G163" s="299"/>
      <c r="I163" s="288"/>
      <c r="J163" s="289"/>
      <c r="K163" s="290"/>
    </row>
    <row r="164">
      <c r="A164" s="295"/>
      <c r="B164" s="295"/>
      <c r="C164" s="296"/>
      <c r="D164" s="295"/>
      <c r="E164" s="297"/>
      <c r="F164" s="298"/>
      <c r="G164" s="299"/>
      <c r="I164" s="288"/>
      <c r="J164" s="289"/>
      <c r="K164" s="290"/>
    </row>
    <row r="165">
      <c r="A165" s="295"/>
      <c r="B165" s="295"/>
      <c r="C165" s="296"/>
      <c r="D165" s="295"/>
      <c r="E165" s="297"/>
      <c r="F165" s="298"/>
      <c r="G165" s="299"/>
      <c r="I165" s="288"/>
      <c r="J165" s="289"/>
      <c r="K165" s="290"/>
    </row>
    <row r="166">
      <c r="A166" s="295"/>
      <c r="B166" s="295"/>
      <c r="C166" s="296"/>
      <c r="D166" s="295"/>
      <c r="E166" s="297"/>
      <c r="F166" s="298"/>
      <c r="G166" s="299"/>
      <c r="I166" s="288"/>
      <c r="J166" s="289"/>
      <c r="K166" s="290"/>
    </row>
    <row r="167">
      <c r="A167" s="295"/>
      <c r="B167" s="295"/>
      <c r="C167" s="296"/>
      <c r="D167" s="295"/>
      <c r="E167" s="297"/>
      <c r="F167" s="298"/>
      <c r="G167" s="299"/>
      <c r="I167" s="288"/>
      <c r="J167" s="289"/>
      <c r="K167" s="290"/>
    </row>
    <row r="168">
      <c r="A168" s="295"/>
      <c r="B168" s="295"/>
      <c r="C168" s="296"/>
      <c r="D168" s="295"/>
      <c r="E168" s="297"/>
      <c r="F168" s="298"/>
      <c r="G168" s="299"/>
      <c r="I168" s="288"/>
      <c r="J168" s="289"/>
      <c r="K168" s="290"/>
    </row>
    <row r="169">
      <c r="A169" s="295"/>
      <c r="B169" s="295"/>
      <c r="C169" s="296"/>
      <c r="D169" s="295"/>
      <c r="E169" s="297"/>
      <c r="F169" s="298"/>
      <c r="G169" s="299"/>
      <c r="I169" s="288"/>
      <c r="J169" s="289"/>
      <c r="K169" s="290"/>
    </row>
    <row r="170">
      <c r="A170" s="295"/>
      <c r="B170" s="295"/>
      <c r="C170" s="296"/>
      <c r="D170" s="295"/>
      <c r="E170" s="297"/>
      <c r="F170" s="298"/>
      <c r="G170" s="299"/>
      <c r="I170" s="288"/>
      <c r="J170" s="289"/>
      <c r="K170" s="290"/>
    </row>
    <row r="171">
      <c r="A171" s="295"/>
      <c r="B171" s="295"/>
      <c r="C171" s="296"/>
      <c r="D171" s="295"/>
      <c r="E171" s="297"/>
      <c r="F171" s="298"/>
      <c r="G171" s="299"/>
      <c r="I171" s="288"/>
      <c r="J171" s="289"/>
      <c r="K171" s="290"/>
    </row>
    <row r="172">
      <c r="A172" s="295"/>
      <c r="B172" s="295"/>
      <c r="C172" s="296"/>
      <c r="D172" s="295"/>
      <c r="E172" s="297"/>
      <c r="F172" s="298"/>
      <c r="G172" s="299"/>
      <c r="I172" s="288"/>
      <c r="J172" s="289"/>
      <c r="K172" s="290"/>
    </row>
    <row r="173">
      <c r="A173" s="295"/>
      <c r="B173" s="295"/>
      <c r="C173" s="296"/>
      <c r="D173" s="295"/>
      <c r="E173" s="297"/>
      <c r="F173" s="298"/>
      <c r="G173" s="299"/>
      <c r="I173" s="288"/>
      <c r="J173" s="289"/>
      <c r="K173" s="290"/>
    </row>
    <row r="174">
      <c r="A174" s="295"/>
      <c r="B174" s="295"/>
      <c r="C174" s="296"/>
      <c r="D174" s="295"/>
      <c r="E174" s="297"/>
      <c r="F174" s="298"/>
      <c r="G174" s="299"/>
      <c r="I174" s="288"/>
      <c r="J174" s="289"/>
      <c r="K174" s="290"/>
    </row>
    <row r="175">
      <c r="A175" s="295"/>
      <c r="B175" s="295"/>
      <c r="C175" s="296"/>
      <c r="D175" s="295"/>
      <c r="E175" s="297"/>
      <c r="F175" s="298"/>
      <c r="G175" s="299"/>
      <c r="I175" s="288"/>
      <c r="J175" s="289"/>
      <c r="K175" s="290"/>
    </row>
    <row r="176">
      <c r="A176" s="295"/>
      <c r="B176" s="295"/>
      <c r="C176" s="296"/>
      <c r="D176" s="295"/>
      <c r="E176" s="297"/>
      <c r="F176" s="298"/>
      <c r="G176" s="299"/>
      <c r="I176" s="288"/>
      <c r="J176" s="289"/>
      <c r="K176" s="290"/>
    </row>
    <row r="177">
      <c r="A177" s="295"/>
      <c r="B177" s="295"/>
      <c r="C177" s="296"/>
      <c r="D177" s="295"/>
      <c r="E177" s="297"/>
      <c r="F177" s="298"/>
      <c r="G177" s="299"/>
      <c r="I177" s="288"/>
      <c r="J177" s="289"/>
      <c r="K177" s="290"/>
    </row>
    <row r="178">
      <c r="A178" s="295"/>
      <c r="B178" s="295"/>
      <c r="C178" s="296"/>
      <c r="D178" s="295"/>
      <c r="E178" s="297"/>
      <c r="F178" s="298"/>
      <c r="G178" s="299"/>
      <c r="I178" s="288"/>
      <c r="J178" s="289"/>
      <c r="K178" s="290"/>
    </row>
    <row r="179">
      <c r="A179" s="295"/>
      <c r="B179" s="295"/>
      <c r="C179" s="296"/>
      <c r="D179" s="295"/>
      <c r="E179" s="297"/>
      <c r="F179" s="298"/>
      <c r="G179" s="299"/>
      <c r="I179" s="288"/>
      <c r="J179" s="289"/>
      <c r="K179" s="290"/>
    </row>
    <row r="180">
      <c r="A180" s="295"/>
      <c r="B180" s="295"/>
      <c r="C180" s="296"/>
      <c r="D180" s="295"/>
      <c r="E180" s="297"/>
      <c r="F180" s="298"/>
      <c r="G180" s="299"/>
      <c r="I180" s="288"/>
      <c r="J180" s="289"/>
      <c r="K180" s="290"/>
    </row>
    <row r="181">
      <c r="A181" s="295"/>
      <c r="B181" s="295"/>
      <c r="C181" s="296"/>
      <c r="D181" s="295"/>
      <c r="E181" s="297"/>
      <c r="F181" s="298"/>
      <c r="G181" s="299"/>
      <c r="I181" s="288"/>
      <c r="J181" s="289"/>
      <c r="K181" s="290"/>
    </row>
    <row r="182">
      <c r="A182" s="295"/>
      <c r="B182" s="295"/>
      <c r="C182" s="296"/>
      <c r="D182" s="295"/>
      <c r="E182" s="297"/>
      <c r="F182" s="298"/>
      <c r="G182" s="299"/>
      <c r="I182" s="288"/>
      <c r="J182" s="289"/>
      <c r="K182" s="290"/>
    </row>
    <row r="183">
      <c r="A183" s="295"/>
      <c r="B183" s="295"/>
      <c r="C183" s="296"/>
      <c r="D183" s="295"/>
      <c r="E183" s="297"/>
      <c r="F183" s="298"/>
      <c r="G183" s="299"/>
      <c r="I183" s="288"/>
      <c r="J183" s="289"/>
      <c r="K183" s="290"/>
    </row>
    <row r="184">
      <c r="A184" s="295"/>
      <c r="B184" s="295"/>
      <c r="C184" s="296"/>
      <c r="D184" s="295"/>
      <c r="E184" s="297"/>
      <c r="F184" s="298"/>
      <c r="G184" s="299"/>
      <c r="I184" s="288"/>
      <c r="J184" s="289"/>
      <c r="K184" s="290"/>
    </row>
    <row r="185">
      <c r="A185" s="295"/>
      <c r="B185" s="295"/>
      <c r="C185" s="296"/>
      <c r="D185" s="295"/>
      <c r="E185" s="297"/>
      <c r="F185" s="298"/>
      <c r="G185" s="299"/>
      <c r="I185" s="288"/>
      <c r="J185" s="289"/>
      <c r="K185" s="290"/>
    </row>
    <row r="186">
      <c r="A186" s="295"/>
      <c r="B186" s="295"/>
      <c r="C186" s="296"/>
      <c r="D186" s="295"/>
      <c r="E186" s="297"/>
      <c r="F186" s="298"/>
      <c r="G186" s="299"/>
      <c r="I186" s="288"/>
      <c r="J186" s="289"/>
      <c r="K186" s="290"/>
    </row>
    <row r="187">
      <c r="A187" s="295"/>
      <c r="B187" s="295"/>
      <c r="C187" s="296"/>
      <c r="D187" s="295"/>
      <c r="E187" s="297"/>
      <c r="F187" s="298"/>
      <c r="G187" s="299"/>
      <c r="I187" s="288"/>
      <c r="J187" s="289"/>
      <c r="K187" s="290"/>
    </row>
    <row r="188">
      <c r="A188" s="295"/>
      <c r="B188" s="295"/>
      <c r="C188" s="296"/>
      <c r="D188" s="295"/>
      <c r="E188" s="297"/>
      <c r="F188" s="298"/>
      <c r="G188" s="299"/>
      <c r="I188" s="288"/>
      <c r="J188" s="289"/>
      <c r="K188" s="290"/>
    </row>
    <row r="189">
      <c r="A189" s="295"/>
      <c r="B189" s="295"/>
      <c r="C189" s="296"/>
      <c r="D189" s="295"/>
      <c r="E189" s="297"/>
      <c r="F189" s="298"/>
      <c r="G189" s="299"/>
      <c r="I189" s="288"/>
      <c r="J189" s="289"/>
      <c r="K189" s="290"/>
    </row>
    <row r="190">
      <c r="A190" s="295"/>
      <c r="B190" s="295"/>
      <c r="C190" s="296"/>
      <c r="D190" s="295"/>
      <c r="E190" s="297"/>
      <c r="F190" s="298"/>
      <c r="G190" s="299"/>
      <c r="I190" s="288"/>
      <c r="J190" s="289"/>
      <c r="K190" s="290"/>
    </row>
    <row r="191">
      <c r="A191" s="295"/>
      <c r="B191" s="295"/>
      <c r="C191" s="296"/>
      <c r="D191" s="295"/>
      <c r="E191" s="297"/>
      <c r="F191" s="298"/>
      <c r="G191" s="299"/>
      <c r="I191" s="288"/>
      <c r="J191" s="289"/>
      <c r="K191" s="290"/>
    </row>
    <row r="192">
      <c r="A192" s="295"/>
      <c r="B192" s="295"/>
      <c r="C192" s="296"/>
      <c r="D192" s="295"/>
      <c r="E192" s="297"/>
      <c r="F192" s="298"/>
      <c r="G192" s="299"/>
      <c r="I192" s="288"/>
      <c r="J192" s="289"/>
      <c r="K192" s="290"/>
    </row>
    <row r="193">
      <c r="A193" s="295"/>
      <c r="B193" s="295"/>
      <c r="C193" s="296"/>
      <c r="D193" s="295"/>
      <c r="E193" s="297"/>
      <c r="F193" s="298"/>
      <c r="G193" s="299"/>
      <c r="I193" s="288"/>
      <c r="J193" s="289"/>
      <c r="K193" s="290"/>
    </row>
    <row r="194">
      <c r="A194" s="295"/>
      <c r="B194" s="295"/>
      <c r="C194" s="296"/>
      <c r="D194" s="295"/>
      <c r="E194" s="297"/>
      <c r="F194" s="298"/>
      <c r="G194" s="299"/>
      <c r="I194" s="288"/>
      <c r="J194" s="289"/>
      <c r="K194" s="290"/>
    </row>
    <row r="195">
      <c r="A195" s="295"/>
      <c r="B195" s="295"/>
      <c r="C195" s="296"/>
      <c r="D195" s="295"/>
      <c r="E195" s="297"/>
      <c r="F195" s="298"/>
      <c r="G195" s="299"/>
      <c r="I195" s="288"/>
      <c r="J195" s="289"/>
      <c r="K195" s="290"/>
    </row>
    <row r="196">
      <c r="A196" s="295"/>
      <c r="B196" s="295"/>
      <c r="C196" s="296"/>
      <c r="D196" s="295"/>
      <c r="E196" s="297"/>
      <c r="F196" s="298"/>
      <c r="G196" s="299"/>
      <c r="I196" s="288"/>
      <c r="J196" s="289"/>
      <c r="K196" s="290"/>
    </row>
    <row r="197">
      <c r="A197" s="295"/>
      <c r="B197" s="295"/>
      <c r="C197" s="296"/>
      <c r="D197" s="295"/>
      <c r="E197" s="297"/>
      <c r="F197" s="298"/>
      <c r="G197" s="299"/>
      <c r="I197" s="288"/>
      <c r="J197" s="289"/>
      <c r="K197" s="290"/>
    </row>
    <row r="198">
      <c r="A198" s="295"/>
      <c r="B198" s="295"/>
      <c r="C198" s="296"/>
      <c r="D198" s="295"/>
      <c r="E198" s="297"/>
      <c r="F198" s="298"/>
      <c r="G198" s="299"/>
      <c r="I198" s="288"/>
      <c r="J198" s="289"/>
      <c r="K198" s="290"/>
    </row>
    <row r="199">
      <c r="A199" s="295"/>
      <c r="B199" s="295"/>
      <c r="C199" s="296"/>
      <c r="D199" s="295"/>
      <c r="E199" s="297"/>
      <c r="F199" s="298"/>
      <c r="G199" s="299"/>
      <c r="I199" s="288"/>
      <c r="J199" s="289"/>
      <c r="K199" s="290"/>
    </row>
    <row r="200">
      <c r="A200" s="295"/>
      <c r="B200" s="295"/>
      <c r="C200" s="296"/>
      <c r="D200" s="295"/>
      <c r="E200" s="297"/>
      <c r="F200" s="298"/>
      <c r="G200" s="299"/>
      <c r="I200" s="288"/>
      <c r="J200" s="289"/>
      <c r="K200" s="290"/>
    </row>
    <row r="201">
      <c r="A201" s="295"/>
      <c r="B201" s="295"/>
      <c r="C201" s="296"/>
      <c r="D201" s="295"/>
      <c r="E201" s="297"/>
      <c r="F201" s="298"/>
      <c r="G201" s="299"/>
      <c r="I201" s="288"/>
      <c r="J201" s="289"/>
      <c r="K201" s="290"/>
    </row>
    <row r="202">
      <c r="A202" s="295"/>
      <c r="B202" s="295"/>
      <c r="C202" s="296"/>
      <c r="D202" s="295"/>
      <c r="E202" s="297"/>
      <c r="F202" s="298"/>
      <c r="G202" s="299"/>
      <c r="I202" s="288"/>
      <c r="J202" s="289"/>
      <c r="K202" s="290"/>
    </row>
    <row r="203">
      <c r="A203" s="295"/>
      <c r="B203" s="295"/>
      <c r="C203" s="296"/>
      <c r="D203" s="295"/>
      <c r="E203" s="297"/>
      <c r="F203" s="298"/>
      <c r="G203" s="299"/>
      <c r="I203" s="288"/>
      <c r="J203" s="289"/>
      <c r="K203" s="290"/>
    </row>
    <row r="204">
      <c r="A204" s="295"/>
      <c r="B204" s="295"/>
      <c r="C204" s="296"/>
      <c r="D204" s="295"/>
      <c r="E204" s="297"/>
      <c r="F204" s="298"/>
      <c r="G204" s="299"/>
      <c r="I204" s="288"/>
      <c r="J204" s="289"/>
      <c r="K204" s="290"/>
    </row>
    <row r="205">
      <c r="A205" s="295"/>
      <c r="B205" s="295"/>
      <c r="C205" s="296"/>
      <c r="D205" s="295"/>
      <c r="E205" s="297"/>
      <c r="F205" s="298"/>
      <c r="G205" s="299"/>
      <c r="I205" s="288"/>
      <c r="J205" s="289"/>
      <c r="K205" s="290"/>
    </row>
    <row r="206">
      <c r="A206" s="295"/>
      <c r="B206" s="295"/>
      <c r="C206" s="296"/>
      <c r="D206" s="295"/>
      <c r="E206" s="297"/>
      <c r="F206" s="298"/>
      <c r="G206" s="299"/>
      <c r="I206" s="288"/>
      <c r="J206" s="289"/>
      <c r="K206" s="290"/>
    </row>
    <row r="207">
      <c r="A207" s="295"/>
      <c r="B207" s="295"/>
      <c r="C207" s="296"/>
      <c r="D207" s="295"/>
      <c r="E207" s="297"/>
      <c r="F207" s="298"/>
      <c r="G207" s="299"/>
      <c r="I207" s="288"/>
      <c r="J207" s="289"/>
      <c r="K207" s="290"/>
    </row>
    <row r="208">
      <c r="A208" s="295"/>
      <c r="B208" s="295"/>
      <c r="C208" s="296"/>
      <c r="D208" s="295"/>
      <c r="E208" s="297"/>
      <c r="F208" s="298"/>
      <c r="G208" s="299"/>
      <c r="I208" s="288"/>
      <c r="J208" s="289"/>
      <c r="K208" s="290"/>
    </row>
    <row r="209">
      <c r="A209" s="295"/>
      <c r="B209" s="295"/>
      <c r="C209" s="296"/>
      <c r="D209" s="295"/>
      <c r="E209" s="297"/>
      <c r="F209" s="298"/>
      <c r="G209" s="299"/>
      <c r="I209" s="288"/>
      <c r="J209" s="289"/>
      <c r="K209" s="290"/>
    </row>
    <row r="210">
      <c r="A210" s="295"/>
      <c r="B210" s="295"/>
      <c r="C210" s="296"/>
      <c r="D210" s="295"/>
      <c r="E210" s="297"/>
      <c r="F210" s="298"/>
      <c r="G210" s="299"/>
      <c r="I210" s="288"/>
      <c r="J210" s="289"/>
      <c r="K210" s="290"/>
    </row>
    <row r="211">
      <c r="A211" s="295"/>
      <c r="B211" s="295"/>
      <c r="C211" s="296"/>
      <c r="D211" s="295"/>
      <c r="E211" s="297"/>
      <c r="F211" s="298"/>
      <c r="G211" s="299"/>
      <c r="I211" s="288"/>
      <c r="J211" s="289"/>
      <c r="K211" s="290"/>
    </row>
    <row r="212">
      <c r="A212" s="295"/>
      <c r="B212" s="295"/>
      <c r="C212" s="296"/>
      <c r="D212" s="295"/>
      <c r="E212" s="297"/>
      <c r="F212" s="298"/>
      <c r="G212" s="299"/>
      <c r="I212" s="288"/>
      <c r="J212" s="289"/>
      <c r="K212" s="290"/>
    </row>
    <row r="213">
      <c r="A213" s="295"/>
      <c r="B213" s="295"/>
      <c r="C213" s="296"/>
      <c r="D213" s="295"/>
      <c r="E213" s="297"/>
      <c r="F213" s="298"/>
      <c r="G213" s="299"/>
      <c r="I213" s="288"/>
      <c r="J213" s="289"/>
      <c r="K213" s="290"/>
    </row>
    <row r="214">
      <c r="A214" s="295"/>
      <c r="B214" s="295"/>
      <c r="C214" s="296"/>
      <c r="D214" s="295"/>
      <c r="E214" s="297"/>
      <c r="F214" s="298"/>
      <c r="G214" s="299"/>
      <c r="I214" s="288"/>
      <c r="J214" s="289"/>
      <c r="K214" s="290"/>
    </row>
    <row r="215">
      <c r="A215" s="295"/>
      <c r="B215" s="295"/>
      <c r="C215" s="296"/>
      <c r="D215" s="295"/>
      <c r="E215" s="297"/>
      <c r="F215" s="298"/>
      <c r="G215" s="299"/>
      <c r="I215" s="288"/>
      <c r="J215" s="289"/>
      <c r="K215" s="290"/>
    </row>
    <row r="216">
      <c r="A216" s="295"/>
      <c r="B216" s="295"/>
      <c r="C216" s="296"/>
      <c r="D216" s="295"/>
      <c r="E216" s="297"/>
      <c r="F216" s="298"/>
      <c r="G216" s="299"/>
      <c r="I216" s="288"/>
      <c r="J216" s="289"/>
      <c r="K216" s="290"/>
    </row>
    <row r="217">
      <c r="A217" s="295"/>
      <c r="B217" s="295"/>
      <c r="C217" s="296"/>
      <c r="D217" s="295"/>
      <c r="E217" s="297"/>
      <c r="F217" s="298"/>
      <c r="G217" s="299"/>
      <c r="I217" s="288"/>
      <c r="J217" s="289"/>
      <c r="K217" s="290"/>
    </row>
    <row r="218">
      <c r="A218" s="295"/>
      <c r="B218" s="295"/>
      <c r="C218" s="296"/>
      <c r="D218" s="295"/>
      <c r="E218" s="297"/>
      <c r="F218" s="298"/>
      <c r="G218" s="299"/>
      <c r="I218" s="288"/>
      <c r="J218" s="289"/>
      <c r="K218" s="290"/>
    </row>
    <row r="219">
      <c r="A219" s="295"/>
      <c r="B219" s="295"/>
      <c r="C219" s="296"/>
      <c r="D219" s="295"/>
      <c r="E219" s="297"/>
      <c r="F219" s="298"/>
      <c r="G219" s="299"/>
      <c r="I219" s="288"/>
      <c r="J219" s="289"/>
      <c r="K219" s="290"/>
    </row>
    <row r="220">
      <c r="A220" s="295"/>
      <c r="B220" s="295"/>
      <c r="C220" s="296"/>
      <c r="D220" s="295"/>
      <c r="E220" s="297"/>
      <c r="F220" s="298"/>
      <c r="G220" s="299"/>
      <c r="I220" s="288"/>
      <c r="J220" s="289"/>
      <c r="K220" s="290"/>
    </row>
    <row r="221">
      <c r="A221" s="295"/>
      <c r="B221" s="295"/>
      <c r="C221" s="296"/>
      <c r="D221" s="295"/>
      <c r="E221" s="297"/>
      <c r="F221" s="298"/>
      <c r="G221" s="299"/>
      <c r="I221" s="288"/>
      <c r="J221" s="289"/>
      <c r="K221" s="290"/>
    </row>
    <row r="222">
      <c r="A222" s="295"/>
      <c r="B222" s="295"/>
      <c r="C222" s="296"/>
      <c r="D222" s="295"/>
      <c r="E222" s="297"/>
      <c r="F222" s="298"/>
      <c r="G222" s="299"/>
      <c r="I222" s="288"/>
      <c r="J222" s="289"/>
      <c r="K222" s="290"/>
    </row>
    <row r="223">
      <c r="A223" s="295"/>
      <c r="B223" s="295"/>
      <c r="C223" s="296"/>
      <c r="D223" s="295"/>
      <c r="E223" s="297"/>
      <c r="F223" s="298"/>
      <c r="G223" s="299"/>
      <c r="I223" s="288"/>
      <c r="J223" s="289"/>
      <c r="K223" s="290"/>
    </row>
    <row r="224">
      <c r="A224" s="295"/>
      <c r="B224" s="295"/>
      <c r="C224" s="296"/>
      <c r="D224" s="295"/>
      <c r="E224" s="297"/>
      <c r="F224" s="298"/>
      <c r="G224" s="299"/>
      <c r="I224" s="288"/>
      <c r="J224" s="289"/>
      <c r="K224" s="290"/>
    </row>
    <row r="225">
      <c r="A225" s="295"/>
      <c r="B225" s="295"/>
      <c r="C225" s="296"/>
      <c r="D225" s="295"/>
      <c r="E225" s="297"/>
      <c r="F225" s="298"/>
      <c r="G225" s="299"/>
      <c r="I225" s="288"/>
      <c r="J225" s="289"/>
      <c r="K225" s="290"/>
    </row>
    <row r="226">
      <c r="A226" s="295"/>
      <c r="B226" s="295"/>
      <c r="C226" s="296"/>
      <c r="D226" s="295"/>
      <c r="E226" s="297"/>
      <c r="F226" s="298"/>
      <c r="G226" s="299"/>
      <c r="I226" s="288"/>
      <c r="J226" s="289"/>
      <c r="K226" s="290"/>
    </row>
    <row r="227">
      <c r="A227" s="295"/>
      <c r="B227" s="295"/>
      <c r="C227" s="296"/>
      <c r="D227" s="295"/>
      <c r="E227" s="297"/>
      <c r="F227" s="298"/>
      <c r="G227" s="299"/>
      <c r="I227" s="288"/>
      <c r="J227" s="289"/>
      <c r="K227" s="290"/>
    </row>
    <row r="228">
      <c r="A228" s="295"/>
      <c r="B228" s="295"/>
      <c r="C228" s="296"/>
      <c r="D228" s="295"/>
      <c r="E228" s="297"/>
      <c r="F228" s="298"/>
      <c r="G228" s="299"/>
      <c r="I228" s="288"/>
      <c r="J228" s="289"/>
      <c r="K228" s="290"/>
    </row>
    <row r="229">
      <c r="A229" s="295"/>
      <c r="B229" s="295"/>
      <c r="C229" s="296"/>
      <c r="D229" s="295"/>
      <c r="E229" s="297"/>
      <c r="F229" s="298"/>
      <c r="G229" s="299"/>
      <c r="I229" s="288"/>
      <c r="J229" s="289"/>
      <c r="K229" s="290"/>
    </row>
    <row r="230">
      <c r="A230" s="295"/>
      <c r="B230" s="295"/>
      <c r="C230" s="296"/>
      <c r="D230" s="295"/>
      <c r="E230" s="297"/>
      <c r="F230" s="298"/>
      <c r="G230" s="299"/>
      <c r="I230" s="288"/>
      <c r="J230" s="289"/>
      <c r="K230" s="290"/>
    </row>
    <row r="231">
      <c r="A231" s="295"/>
      <c r="B231" s="295"/>
      <c r="C231" s="296"/>
      <c r="D231" s="295"/>
      <c r="E231" s="297"/>
      <c r="F231" s="298"/>
      <c r="G231" s="299"/>
      <c r="I231" s="288"/>
      <c r="J231" s="289"/>
      <c r="K231" s="290"/>
    </row>
    <row r="232">
      <c r="A232" s="295"/>
      <c r="B232" s="295"/>
      <c r="C232" s="296"/>
      <c r="D232" s="295"/>
      <c r="E232" s="297"/>
      <c r="F232" s="298"/>
      <c r="G232" s="299"/>
      <c r="I232" s="288"/>
      <c r="J232" s="289"/>
      <c r="K232" s="290"/>
    </row>
    <row r="233">
      <c r="A233" s="295"/>
      <c r="B233" s="295"/>
      <c r="C233" s="296"/>
      <c r="D233" s="295"/>
      <c r="E233" s="297"/>
      <c r="F233" s="298"/>
      <c r="G233" s="299"/>
      <c r="I233" s="288"/>
      <c r="J233" s="289"/>
      <c r="K233" s="290"/>
    </row>
    <row r="234">
      <c r="A234" s="295"/>
      <c r="B234" s="295"/>
      <c r="C234" s="296"/>
      <c r="D234" s="295"/>
      <c r="E234" s="297"/>
      <c r="F234" s="298"/>
      <c r="G234" s="299"/>
      <c r="I234" s="288"/>
      <c r="J234" s="289"/>
      <c r="K234" s="290"/>
    </row>
    <row r="235">
      <c r="A235" s="295"/>
      <c r="B235" s="295"/>
      <c r="C235" s="296"/>
      <c r="D235" s="295"/>
      <c r="E235" s="297"/>
      <c r="F235" s="298"/>
      <c r="G235" s="299"/>
      <c r="I235" s="288"/>
      <c r="J235" s="289"/>
      <c r="K235" s="290"/>
    </row>
    <row r="236">
      <c r="A236" s="295"/>
      <c r="B236" s="295"/>
      <c r="C236" s="296"/>
      <c r="D236" s="295"/>
      <c r="E236" s="297"/>
      <c r="F236" s="298"/>
      <c r="G236" s="299"/>
      <c r="I236" s="288"/>
      <c r="J236" s="289"/>
      <c r="K236" s="290"/>
    </row>
    <row r="237">
      <c r="A237" s="295"/>
      <c r="B237" s="295"/>
      <c r="C237" s="296"/>
      <c r="D237" s="295"/>
      <c r="E237" s="297"/>
      <c r="F237" s="298"/>
      <c r="G237" s="299"/>
      <c r="I237" s="288"/>
      <c r="J237" s="289"/>
      <c r="K237" s="290"/>
    </row>
    <row r="238">
      <c r="A238" s="295"/>
      <c r="B238" s="295"/>
      <c r="C238" s="296"/>
      <c r="D238" s="295"/>
      <c r="E238" s="297"/>
      <c r="F238" s="298"/>
      <c r="G238" s="299"/>
      <c r="I238" s="288"/>
      <c r="J238" s="289"/>
      <c r="K238" s="290"/>
    </row>
    <row r="239">
      <c r="A239" s="295"/>
      <c r="B239" s="295"/>
      <c r="C239" s="296"/>
      <c r="D239" s="295"/>
      <c r="E239" s="297"/>
      <c r="F239" s="298"/>
      <c r="G239" s="299"/>
      <c r="I239" s="288"/>
      <c r="J239" s="289"/>
      <c r="K239" s="290"/>
    </row>
    <row r="240">
      <c r="A240" s="295"/>
      <c r="B240" s="295"/>
      <c r="C240" s="296"/>
      <c r="D240" s="295"/>
      <c r="E240" s="297"/>
      <c r="F240" s="298"/>
      <c r="G240" s="299"/>
      <c r="I240" s="288"/>
      <c r="J240" s="289"/>
      <c r="K240" s="290"/>
    </row>
    <row r="241">
      <c r="A241" s="295"/>
      <c r="B241" s="295"/>
      <c r="C241" s="296"/>
      <c r="D241" s="295"/>
      <c r="E241" s="297"/>
      <c r="F241" s="298"/>
      <c r="G241" s="299"/>
      <c r="I241" s="288"/>
      <c r="J241" s="289"/>
      <c r="K241" s="290"/>
    </row>
    <row r="242">
      <c r="A242" s="295"/>
      <c r="B242" s="295"/>
      <c r="C242" s="296"/>
      <c r="D242" s="295"/>
      <c r="E242" s="297"/>
      <c r="F242" s="298"/>
      <c r="G242" s="299"/>
      <c r="I242" s="288"/>
      <c r="J242" s="289"/>
      <c r="K242" s="290"/>
    </row>
    <row r="243">
      <c r="A243" s="295"/>
      <c r="B243" s="295"/>
      <c r="C243" s="296"/>
      <c r="D243" s="295"/>
      <c r="E243" s="297"/>
      <c r="F243" s="298"/>
      <c r="G243" s="299"/>
      <c r="I243" s="288"/>
      <c r="J243" s="289"/>
      <c r="K243" s="290"/>
    </row>
    <row r="244">
      <c r="A244" s="295"/>
      <c r="B244" s="295"/>
      <c r="C244" s="296"/>
      <c r="D244" s="295"/>
      <c r="E244" s="297"/>
      <c r="F244" s="298"/>
      <c r="G244" s="299"/>
      <c r="I244" s="288"/>
      <c r="J244" s="289"/>
      <c r="K244" s="290"/>
    </row>
    <row r="245">
      <c r="A245" s="295"/>
      <c r="B245" s="295"/>
      <c r="C245" s="296"/>
      <c r="D245" s="295"/>
      <c r="E245" s="297"/>
      <c r="F245" s="298"/>
      <c r="G245" s="299"/>
      <c r="I245" s="288"/>
      <c r="J245" s="289"/>
      <c r="K245" s="290"/>
    </row>
    <row r="246">
      <c r="A246" s="295"/>
      <c r="B246" s="295"/>
      <c r="C246" s="296"/>
      <c r="D246" s="295"/>
      <c r="E246" s="297"/>
      <c r="F246" s="298"/>
      <c r="G246" s="299"/>
      <c r="I246" s="288"/>
      <c r="J246" s="289"/>
      <c r="K246" s="290"/>
    </row>
    <row r="247">
      <c r="A247" s="295"/>
      <c r="B247" s="295"/>
      <c r="C247" s="296"/>
      <c r="D247" s="295"/>
      <c r="E247" s="297"/>
      <c r="F247" s="298"/>
      <c r="G247" s="299"/>
      <c r="I247" s="288"/>
      <c r="J247" s="289"/>
      <c r="K247" s="290"/>
    </row>
    <row r="248">
      <c r="A248" s="295"/>
      <c r="B248" s="295"/>
      <c r="C248" s="296"/>
      <c r="D248" s="295"/>
      <c r="E248" s="297"/>
      <c r="F248" s="298"/>
      <c r="G248" s="299"/>
      <c r="I248" s="288"/>
      <c r="J248" s="289"/>
      <c r="K248" s="290"/>
    </row>
    <row r="249">
      <c r="A249" s="295"/>
      <c r="B249" s="295"/>
      <c r="C249" s="296"/>
      <c r="D249" s="295"/>
      <c r="E249" s="297"/>
      <c r="F249" s="298"/>
      <c r="G249" s="299"/>
      <c r="I249" s="288"/>
      <c r="J249" s="289"/>
      <c r="K249" s="290"/>
    </row>
    <row r="250">
      <c r="A250" s="295"/>
      <c r="B250" s="295"/>
      <c r="C250" s="296"/>
      <c r="D250" s="295"/>
      <c r="E250" s="297"/>
      <c r="F250" s="298"/>
      <c r="G250" s="299"/>
      <c r="I250" s="288"/>
      <c r="J250" s="289"/>
      <c r="K250" s="290"/>
    </row>
    <row r="251">
      <c r="A251" s="295"/>
      <c r="B251" s="295"/>
      <c r="C251" s="296"/>
      <c r="D251" s="295"/>
      <c r="E251" s="297"/>
      <c r="F251" s="298"/>
      <c r="G251" s="299"/>
      <c r="I251" s="288"/>
      <c r="J251" s="289"/>
      <c r="K251" s="290"/>
    </row>
    <row r="252">
      <c r="A252" s="295"/>
      <c r="B252" s="295"/>
      <c r="C252" s="296"/>
      <c r="D252" s="295"/>
      <c r="E252" s="297"/>
      <c r="F252" s="298"/>
      <c r="G252" s="299"/>
      <c r="I252" s="288"/>
      <c r="J252" s="289"/>
      <c r="K252" s="290"/>
    </row>
    <row r="253">
      <c r="A253" s="295"/>
      <c r="B253" s="295"/>
      <c r="C253" s="296"/>
      <c r="D253" s="295"/>
      <c r="E253" s="297"/>
      <c r="F253" s="298"/>
      <c r="G253" s="299"/>
      <c r="I253" s="288"/>
      <c r="J253" s="289"/>
      <c r="K253" s="290"/>
    </row>
    <row r="254">
      <c r="A254" s="295"/>
      <c r="B254" s="295"/>
      <c r="C254" s="296"/>
      <c r="D254" s="295"/>
      <c r="E254" s="297"/>
      <c r="F254" s="298"/>
      <c r="G254" s="299"/>
      <c r="I254" s="288"/>
      <c r="J254" s="289"/>
      <c r="K254" s="290"/>
    </row>
    <row r="255">
      <c r="A255" s="295"/>
      <c r="B255" s="295"/>
      <c r="C255" s="296"/>
      <c r="D255" s="295"/>
      <c r="E255" s="297"/>
      <c r="F255" s="298"/>
      <c r="G255" s="299"/>
      <c r="I255" s="288"/>
      <c r="J255" s="289"/>
      <c r="K255" s="290"/>
    </row>
    <row r="256">
      <c r="A256" s="295"/>
      <c r="B256" s="295"/>
      <c r="C256" s="296"/>
      <c r="D256" s="295"/>
      <c r="E256" s="297"/>
      <c r="F256" s="298"/>
      <c r="G256" s="299"/>
      <c r="I256" s="288"/>
      <c r="J256" s="289"/>
      <c r="K256" s="290"/>
    </row>
    <row r="257">
      <c r="A257" s="295"/>
      <c r="B257" s="295"/>
      <c r="C257" s="296"/>
      <c r="D257" s="295"/>
      <c r="E257" s="297"/>
      <c r="F257" s="298"/>
      <c r="G257" s="299"/>
      <c r="I257" s="288"/>
      <c r="J257" s="289"/>
      <c r="K257" s="290"/>
    </row>
    <row r="258">
      <c r="A258" s="295"/>
      <c r="B258" s="295"/>
      <c r="C258" s="296"/>
      <c r="D258" s="295"/>
      <c r="E258" s="297"/>
      <c r="F258" s="298"/>
      <c r="G258" s="299"/>
      <c r="I258" s="288"/>
      <c r="J258" s="289"/>
      <c r="K258" s="290"/>
    </row>
    <row r="259">
      <c r="A259" s="295"/>
      <c r="B259" s="295"/>
      <c r="C259" s="296"/>
      <c r="D259" s="295"/>
      <c r="E259" s="297"/>
      <c r="F259" s="298"/>
      <c r="G259" s="299"/>
      <c r="I259" s="288"/>
      <c r="J259" s="289"/>
      <c r="K259" s="290"/>
    </row>
    <row r="260">
      <c r="A260" s="295"/>
      <c r="B260" s="295"/>
      <c r="C260" s="296"/>
      <c r="D260" s="295"/>
      <c r="E260" s="297"/>
      <c r="F260" s="298"/>
      <c r="G260" s="299"/>
      <c r="I260" s="288"/>
      <c r="J260" s="289"/>
      <c r="K260" s="290"/>
    </row>
    <row r="261">
      <c r="A261" s="295"/>
      <c r="B261" s="295"/>
      <c r="C261" s="296"/>
      <c r="D261" s="295"/>
      <c r="E261" s="297"/>
      <c r="F261" s="298"/>
      <c r="G261" s="299"/>
      <c r="I261" s="288"/>
      <c r="J261" s="289"/>
      <c r="K261" s="290"/>
    </row>
    <row r="262">
      <c r="A262" s="295"/>
      <c r="B262" s="295"/>
      <c r="C262" s="296"/>
      <c r="D262" s="295"/>
      <c r="E262" s="297"/>
      <c r="F262" s="298"/>
      <c r="G262" s="299"/>
      <c r="I262" s="288"/>
      <c r="J262" s="289"/>
      <c r="K262" s="290"/>
    </row>
    <row r="263">
      <c r="A263" s="295"/>
      <c r="B263" s="295"/>
      <c r="C263" s="296"/>
      <c r="D263" s="295"/>
      <c r="E263" s="297"/>
      <c r="F263" s="298"/>
      <c r="G263" s="299"/>
      <c r="I263" s="288"/>
      <c r="J263" s="289"/>
      <c r="K263" s="290"/>
    </row>
    <row r="264">
      <c r="A264" s="295"/>
      <c r="B264" s="295"/>
      <c r="C264" s="296"/>
      <c r="D264" s="295"/>
      <c r="E264" s="297"/>
      <c r="F264" s="298"/>
      <c r="G264" s="299"/>
      <c r="I264" s="288"/>
      <c r="J264" s="289"/>
      <c r="K264" s="290"/>
    </row>
    <row r="265">
      <c r="A265" s="295"/>
      <c r="B265" s="295"/>
      <c r="C265" s="296"/>
      <c r="D265" s="295"/>
      <c r="E265" s="297"/>
      <c r="F265" s="298"/>
      <c r="G265" s="299"/>
      <c r="I265" s="288"/>
      <c r="J265" s="289"/>
      <c r="K265" s="290"/>
    </row>
    <row r="266">
      <c r="A266" s="295"/>
      <c r="B266" s="295"/>
      <c r="C266" s="296"/>
      <c r="D266" s="295"/>
      <c r="E266" s="297"/>
      <c r="F266" s="298"/>
      <c r="G266" s="299"/>
      <c r="I266" s="288"/>
      <c r="J266" s="289"/>
      <c r="K266" s="290"/>
    </row>
    <row r="267">
      <c r="A267" s="295"/>
      <c r="B267" s="295"/>
      <c r="C267" s="296"/>
      <c r="D267" s="295"/>
      <c r="E267" s="297"/>
      <c r="F267" s="298"/>
      <c r="G267" s="299"/>
      <c r="I267" s="288"/>
      <c r="J267" s="289"/>
      <c r="K267" s="290"/>
    </row>
    <row r="268">
      <c r="A268" s="295"/>
      <c r="B268" s="295"/>
      <c r="C268" s="296"/>
      <c r="D268" s="295"/>
      <c r="E268" s="297"/>
      <c r="F268" s="298"/>
      <c r="G268" s="299"/>
      <c r="I268" s="288"/>
      <c r="J268" s="289"/>
      <c r="K268" s="290"/>
    </row>
    <row r="269">
      <c r="A269" s="295"/>
      <c r="B269" s="295"/>
      <c r="C269" s="296"/>
      <c r="D269" s="295"/>
      <c r="E269" s="297"/>
      <c r="F269" s="298"/>
      <c r="G269" s="299"/>
      <c r="I269" s="288"/>
      <c r="J269" s="289"/>
      <c r="K269" s="290"/>
    </row>
    <row r="270">
      <c r="A270" s="295"/>
      <c r="B270" s="295"/>
      <c r="C270" s="296"/>
      <c r="D270" s="295"/>
      <c r="E270" s="297"/>
      <c r="F270" s="298"/>
      <c r="G270" s="299"/>
      <c r="I270" s="288"/>
      <c r="J270" s="289"/>
      <c r="K270" s="290"/>
    </row>
    <row r="271">
      <c r="A271" s="295"/>
      <c r="B271" s="295"/>
      <c r="C271" s="296"/>
      <c r="D271" s="295"/>
      <c r="E271" s="297"/>
      <c r="F271" s="298"/>
      <c r="G271" s="299"/>
      <c r="I271" s="288"/>
      <c r="J271" s="289"/>
      <c r="K271" s="290"/>
    </row>
    <row r="272">
      <c r="A272" s="295"/>
      <c r="B272" s="295"/>
      <c r="C272" s="296"/>
      <c r="D272" s="295"/>
      <c r="E272" s="297"/>
      <c r="F272" s="298"/>
      <c r="G272" s="299"/>
      <c r="I272" s="288"/>
      <c r="J272" s="289"/>
      <c r="K272" s="290"/>
    </row>
    <row r="273">
      <c r="A273" s="295"/>
      <c r="B273" s="295"/>
      <c r="C273" s="296"/>
      <c r="D273" s="295"/>
      <c r="E273" s="297"/>
      <c r="F273" s="298"/>
      <c r="G273" s="299"/>
      <c r="I273" s="288"/>
      <c r="J273" s="289"/>
      <c r="K273" s="290"/>
    </row>
    <row r="274">
      <c r="A274" s="295"/>
      <c r="B274" s="295"/>
      <c r="C274" s="296"/>
      <c r="D274" s="295"/>
      <c r="E274" s="297"/>
      <c r="F274" s="298"/>
      <c r="G274" s="299"/>
      <c r="I274" s="288"/>
      <c r="J274" s="289"/>
      <c r="K274" s="290"/>
    </row>
    <row r="275">
      <c r="A275" s="295"/>
      <c r="B275" s="295"/>
      <c r="C275" s="296"/>
      <c r="D275" s="295"/>
      <c r="E275" s="297"/>
      <c r="F275" s="298"/>
      <c r="G275" s="299"/>
      <c r="I275" s="288"/>
      <c r="J275" s="289"/>
      <c r="K275" s="290"/>
    </row>
    <row r="276">
      <c r="A276" s="295"/>
      <c r="B276" s="295"/>
      <c r="C276" s="296"/>
      <c r="D276" s="295"/>
      <c r="E276" s="297"/>
      <c r="F276" s="298"/>
      <c r="G276" s="299"/>
      <c r="I276" s="288"/>
      <c r="J276" s="289"/>
      <c r="K276" s="290"/>
    </row>
    <row r="277">
      <c r="A277" s="295"/>
      <c r="B277" s="295"/>
      <c r="C277" s="296"/>
      <c r="D277" s="295"/>
      <c r="E277" s="297"/>
      <c r="F277" s="298"/>
      <c r="G277" s="299"/>
      <c r="I277" s="288"/>
      <c r="J277" s="289"/>
      <c r="K277" s="290"/>
    </row>
    <row r="278">
      <c r="A278" s="295"/>
      <c r="B278" s="295"/>
      <c r="C278" s="296"/>
      <c r="D278" s="295"/>
      <c r="E278" s="297"/>
      <c r="F278" s="298"/>
      <c r="G278" s="299"/>
      <c r="I278" s="288"/>
      <c r="J278" s="289"/>
      <c r="K278" s="290"/>
    </row>
    <row r="279">
      <c r="A279" s="295"/>
      <c r="B279" s="295"/>
      <c r="C279" s="296"/>
      <c r="D279" s="295"/>
      <c r="E279" s="297"/>
      <c r="F279" s="298"/>
      <c r="G279" s="299"/>
      <c r="I279" s="288"/>
      <c r="J279" s="289"/>
      <c r="K279" s="290"/>
    </row>
    <row r="280">
      <c r="A280" s="295"/>
      <c r="B280" s="295"/>
      <c r="C280" s="296"/>
      <c r="D280" s="295"/>
      <c r="E280" s="297"/>
      <c r="F280" s="298"/>
      <c r="G280" s="299"/>
      <c r="I280" s="288"/>
      <c r="J280" s="289"/>
      <c r="K280" s="290"/>
    </row>
    <row r="281">
      <c r="A281" s="295"/>
      <c r="B281" s="295"/>
      <c r="C281" s="296"/>
      <c r="D281" s="295"/>
      <c r="E281" s="297"/>
      <c r="F281" s="298"/>
      <c r="G281" s="299"/>
      <c r="I281" s="288"/>
      <c r="J281" s="289"/>
      <c r="K281" s="290"/>
    </row>
    <row r="282">
      <c r="A282" s="295"/>
      <c r="B282" s="295"/>
      <c r="C282" s="296"/>
      <c r="D282" s="295"/>
      <c r="E282" s="297"/>
      <c r="F282" s="298"/>
      <c r="G282" s="299"/>
      <c r="I282" s="288"/>
      <c r="J282" s="289"/>
      <c r="K282" s="290"/>
    </row>
    <row r="283">
      <c r="A283" s="295"/>
      <c r="B283" s="295"/>
      <c r="C283" s="296"/>
      <c r="D283" s="295"/>
      <c r="E283" s="297"/>
      <c r="F283" s="298"/>
      <c r="G283" s="299"/>
      <c r="I283" s="288"/>
      <c r="J283" s="289"/>
      <c r="K283" s="290"/>
    </row>
    <row r="284">
      <c r="A284" s="295"/>
      <c r="B284" s="295"/>
      <c r="C284" s="296"/>
      <c r="D284" s="295"/>
      <c r="E284" s="297"/>
      <c r="F284" s="298"/>
      <c r="G284" s="299"/>
      <c r="I284" s="288"/>
      <c r="J284" s="289"/>
      <c r="K284" s="290"/>
    </row>
    <row r="285">
      <c r="A285" s="295"/>
      <c r="B285" s="295"/>
      <c r="C285" s="296"/>
      <c r="D285" s="295"/>
      <c r="E285" s="297"/>
      <c r="F285" s="298"/>
      <c r="G285" s="299"/>
      <c r="I285" s="288"/>
      <c r="J285" s="289"/>
      <c r="K285" s="290"/>
    </row>
    <row r="286">
      <c r="A286" s="295"/>
      <c r="B286" s="295"/>
      <c r="C286" s="296"/>
      <c r="D286" s="295"/>
      <c r="E286" s="297"/>
      <c r="F286" s="298"/>
      <c r="G286" s="299"/>
      <c r="I286" s="288"/>
      <c r="J286" s="289"/>
      <c r="K286" s="290"/>
    </row>
    <row r="287">
      <c r="A287" s="295"/>
      <c r="B287" s="295"/>
      <c r="C287" s="296"/>
      <c r="D287" s="295"/>
      <c r="E287" s="297"/>
      <c r="F287" s="298"/>
      <c r="G287" s="299"/>
      <c r="I287" s="288"/>
      <c r="J287" s="289"/>
      <c r="K287" s="290"/>
    </row>
    <row r="288">
      <c r="A288" s="295"/>
      <c r="B288" s="295"/>
      <c r="C288" s="296"/>
      <c r="D288" s="295"/>
      <c r="E288" s="297"/>
      <c r="F288" s="298"/>
      <c r="G288" s="299"/>
      <c r="I288" s="288"/>
      <c r="J288" s="289"/>
      <c r="K288" s="290"/>
    </row>
    <row r="289">
      <c r="A289" s="295"/>
      <c r="B289" s="295"/>
      <c r="C289" s="296"/>
      <c r="D289" s="295"/>
      <c r="E289" s="297"/>
      <c r="F289" s="298"/>
      <c r="G289" s="299"/>
      <c r="I289" s="288"/>
      <c r="J289" s="289"/>
      <c r="K289" s="290"/>
    </row>
    <row r="290">
      <c r="A290" s="295"/>
      <c r="B290" s="295"/>
      <c r="C290" s="296"/>
      <c r="D290" s="295"/>
      <c r="E290" s="297"/>
      <c r="F290" s="298"/>
      <c r="G290" s="299"/>
      <c r="I290" s="288"/>
      <c r="J290" s="289"/>
      <c r="K290" s="290"/>
    </row>
    <row r="291">
      <c r="A291" s="295"/>
      <c r="B291" s="295"/>
      <c r="C291" s="296"/>
      <c r="D291" s="295"/>
      <c r="E291" s="297"/>
      <c r="F291" s="298"/>
      <c r="G291" s="299"/>
      <c r="I291" s="288"/>
      <c r="J291" s="289"/>
      <c r="K291" s="290"/>
    </row>
    <row r="292">
      <c r="A292" s="295"/>
      <c r="B292" s="295"/>
      <c r="C292" s="296"/>
      <c r="D292" s="295"/>
      <c r="E292" s="297"/>
      <c r="F292" s="298"/>
      <c r="G292" s="299"/>
      <c r="I292" s="288"/>
      <c r="J292" s="289"/>
      <c r="K292" s="290"/>
    </row>
    <row r="293">
      <c r="A293" s="295"/>
      <c r="B293" s="295"/>
      <c r="C293" s="296"/>
      <c r="D293" s="295"/>
      <c r="E293" s="297"/>
      <c r="F293" s="298"/>
      <c r="G293" s="299"/>
      <c r="I293" s="288"/>
      <c r="J293" s="289"/>
      <c r="K293" s="290"/>
    </row>
    <row r="294">
      <c r="A294" s="295"/>
      <c r="B294" s="295"/>
      <c r="C294" s="296"/>
      <c r="D294" s="295"/>
      <c r="E294" s="297"/>
      <c r="F294" s="298"/>
      <c r="G294" s="299"/>
      <c r="I294" s="288"/>
      <c r="J294" s="289"/>
      <c r="K294" s="290"/>
    </row>
    <row r="295">
      <c r="A295" s="295"/>
      <c r="B295" s="295"/>
      <c r="C295" s="296"/>
      <c r="D295" s="295"/>
      <c r="E295" s="297"/>
      <c r="F295" s="298"/>
      <c r="G295" s="299"/>
      <c r="I295" s="288"/>
      <c r="J295" s="289"/>
      <c r="K295" s="290"/>
    </row>
    <row r="296">
      <c r="A296" s="295"/>
      <c r="B296" s="295"/>
      <c r="C296" s="296"/>
      <c r="D296" s="295"/>
      <c r="E296" s="297"/>
      <c r="F296" s="298"/>
      <c r="G296" s="299"/>
      <c r="I296" s="288"/>
      <c r="J296" s="289"/>
      <c r="K296" s="290"/>
    </row>
    <row r="297">
      <c r="A297" s="295"/>
      <c r="B297" s="295"/>
      <c r="C297" s="296"/>
      <c r="D297" s="295"/>
      <c r="E297" s="297"/>
      <c r="F297" s="298"/>
      <c r="G297" s="299"/>
      <c r="I297" s="288"/>
      <c r="J297" s="289"/>
      <c r="K297" s="290"/>
    </row>
    <row r="298">
      <c r="A298" s="295"/>
      <c r="B298" s="295"/>
      <c r="C298" s="296"/>
      <c r="D298" s="295"/>
      <c r="E298" s="297"/>
      <c r="F298" s="298"/>
      <c r="G298" s="299"/>
      <c r="I298" s="288"/>
      <c r="J298" s="289"/>
      <c r="K298" s="290"/>
    </row>
    <row r="299">
      <c r="A299" s="295"/>
      <c r="B299" s="295"/>
      <c r="C299" s="296"/>
      <c r="D299" s="295"/>
      <c r="E299" s="297"/>
      <c r="F299" s="298"/>
      <c r="G299" s="299"/>
      <c r="I299" s="288"/>
      <c r="J299" s="289"/>
      <c r="K299" s="290"/>
    </row>
    <row r="300">
      <c r="A300" s="295"/>
      <c r="B300" s="295"/>
      <c r="C300" s="296"/>
      <c r="D300" s="295"/>
      <c r="E300" s="297"/>
      <c r="F300" s="298"/>
      <c r="G300" s="299"/>
      <c r="I300" s="288"/>
      <c r="J300" s="289"/>
      <c r="K300" s="290"/>
    </row>
    <row r="301">
      <c r="A301" s="295"/>
      <c r="B301" s="295"/>
      <c r="C301" s="296"/>
      <c r="D301" s="295"/>
      <c r="E301" s="297"/>
      <c r="F301" s="298"/>
      <c r="G301" s="299"/>
      <c r="I301" s="288"/>
      <c r="J301" s="289"/>
      <c r="K301" s="290"/>
    </row>
    <row r="302">
      <c r="A302" s="295"/>
      <c r="B302" s="295"/>
      <c r="C302" s="296"/>
      <c r="D302" s="295"/>
      <c r="E302" s="297"/>
      <c r="F302" s="298"/>
      <c r="G302" s="299"/>
      <c r="I302" s="288"/>
      <c r="J302" s="289"/>
      <c r="K302" s="290"/>
    </row>
    <row r="303">
      <c r="A303" s="295"/>
      <c r="B303" s="295"/>
      <c r="C303" s="296"/>
      <c r="D303" s="295"/>
      <c r="E303" s="297"/>
      <c r="F303" s="298"/>
      <c r="G303" s="299"/>
      <c r="I303" s="288"/>
      <c r="J303" s="289"/>
      <c r="K303" s="290"/>
    </row>
    <row r="304">
      <c r="A304" s="295"/>
      <c r="B304" s="295"/>
      <c r="C304" s="296"/>
      <c r="D304" s="295"/>
      <c r="E304" s="297"/>
      <c r="F304" s="298"/>
      <c r="G304" s="299"/>
      <c r="I304" s="288"/>
      <c r="J304" s="289"/>
      <c r="K304" s="290"/>
    </row>
    <row r="305">
      <c r="A305" s="295"/>
      <c r="B305" s="295"/>
      <c r="C305" s="296"/>
      <c r="D305" s="295"/>
      <c r="E305" s="297"/>
      <c r="F305" s="298"/>
      <c r="G305" s="299"/>
      <c r="I305" s="288"/>
      <c r="J305" s="289"/>
      <c r="K305" s="290"/>
    </row>
    <row r="306">
      <c r="A306" s="295"/>
      <c r="B306" s="295"/>
      <c r="C306" s="296"/>
      <c r="D306" s="295"/>
      <c r="E306" s="297"/>
      <c r="F306" s="298"/>
      <c r="G306" s="299"/>
      <c r="I306" s="288"/>
      <c r="J306" s="289"/>
      <c r="K306" s="290"/>
    </row>
    <row r="307">
      <c r="A307" s="295"/>
      <c r="B307" s="295"/>
      <c r="C307" s="296"/>
      <c r="D307" s="295"/>
      <c r="E307" s="297"/>
      <c r="F307" s="298"/>
      <c r="G307" s="299"/>
      <c r="I307" s="288"/>
      <c r="J307" s="289"/>
      <c r="K307" s="290"/>
    </row>
    <row r="308">
      <c r="A308" s="295"/>
      <c r="B308" s="295"/>
      <c r="C308" s="296"/>
      <c r="D308" s="295"/>
      <c r="E308" s="297"/>
      <c r="F308" s="298"/>
      <c r="G308" s="299"/>
      <c r="I308" s="288"/>
      <c r="J308" s="289"/>
      <c r="K308" s="290"/>
    </row>
    <row r="309">
      <c r="A309" s="295"/>
      <c r="B309" s="295"/>
      <c r="C309" s="296"/>
      <c r="D309" s="295"/>
      <c r="E309" s="297"/>
      <c r="F309" s="298"/>
      <c r="G309" s="299"/>
      <c r="I309" s="288"/>
      <c r="J309" s="289"/>
      <c r="K309" s="290"/>
    </row>
    <row r="310">
      <c r="A310" s="295"/>
      <c r="B310" s="295"/>
      <c r="C310" s="296"/>
      <c r="D310" s="295"/>
      <c r="E310" s="297"/>
      <c r="F310" s="298"/>
      <c r="G310" s="299"/>
      <c r="I310" s="288"/>
      <c r="J310" s="289"/>
      <c r="K310" s="290"/>
    </row>
    <row r="311">
      <c r="A311" s="295"/>
      <c r="B311" s="295"/>
      <c r="C311" s="296"/>
      <c r="D311" s="295"/>
      <c r="E311" s="297"/>
      <c r="F311" s="298"/>
      <c r="G311" s="299"/>
      <c r="I311" s="288"/>
      <c r="J311" s="289"/>
      <c r="K311" s="290"/>
    </row>
    <row r="312">
      <c r="A312" s="295"/>
      <c r="B312" s="295"/>
      <c r="C312" s="296"/>
      <c r="D312" s="295"/>
      <c r="E312" s="297"/>
      <c r="F312" s="298"/>
      <c r="G312" s="299"/>
      <c r="I312" s="288"/>
      <c r="J312" s="289"/>
      <c r="K312" s="290"/>
    </row>
    <row r="313">
      <c r="A313" s="295"/>
      <c r="B313" s="295"/>
      <c r="C313" s="296"/>
      <c r="D313" s="295"/>
      <c r="E313" s="297"/>
      <c r="F313" s="298"/>
      <c r="G313" s="299"/>
      <c r="I313" s="288"/>
      <c r="J313" s="289"/>
      <c r="K313" s="290"/>
    </row>
    <row r="314">
      <c r="A314" s="295"/>
      <c r="B314" s="295"/>
      <c r="C314" s="296"/>
      <c r="D314" s="295"/>
      <c r="E314" s="297"/>
      <c r="F314" s="298"/>
      <c r="G314" s="299"/>
      <c r="I314" s="288"/>
      <c r="J314" s="289"/>
      <c r="K314" s="290"/>
    </row>
    <row r="315">
      <c r="A315" s="295"/>
      <c r="B315" s="295"/>
      <c r="C315" s="296"/>
      <c r="D315" s="295"/>
      <c r="E315" s="297"/>
      <c r="F315" s="298"/>
      <c r="G315" s="299"/>
      <c r="I315" s="288"/>
      <c r="J315" s="289"/>
      <c r="K315" s="290"/>
    </row>
    <row r="316">
      <c r="A316" s="295"/>
      <c r="B316" s="295"/>
      <c r="C316" s="296"/>
      <c r="D316" s="295"/>
      <c r="E316" s="297"/>
      <c r="F316" s="298"/>
      <c r="G316" s="299"/>
      <c r="I316" s="288"/>
      <c r="J316" s="289"/>
      <c r="K316" s="290"/>
    </row>
    <row r="317">
      <c r="A317" s="295"/>
      <c r="B317" s="295"/>
      <c r="C317" s="296"/>
      <c r="D317" s="295"/>
      <c r="E317" s="297"/>
      <c r="F317" s="298"/>
      <c r="G317" s="299"/>
      <c r="I317" s="288"/>
      <c r="J317" s="289"/>
      <c r="K317" s="290"/>
    </row>
    <row r="318">
      <c r="A318" s="295"/>
      <c r="B318" s="295"/>
      <c r="C318" s="296"/>
      <c r="D318" s="295"/>
      <c r="E318" s="297"/>
      <c r="F318" s="298"/>
      <c r="G318" s="299"/>
      <c r="I318" s="288"/>
      <c r="J318" s="289"/>
      <c r="K318" s="290"/>
    </row>
    <row r="319">
      <c r="A319" s="295"/>
      <c r="B319" s="295"/>
      <c r="C319" s="296"/>
      <c r="D319" s="295"/>
      <c r="E319" s="297"/>
      <c r="F319" s="298"/>
      <c r="G319" s="299"/>
      <c r="I319" s="288"/>
      <c r="J319" s="289"/>
      <c r="K319" s="290"/>
    </row>
    <row r="320">
      <c r="A320" s="295"/>
      <c r="B320" s="295"/>
      <c r="C320" s="296"/>
      <c r="D320" s="295"/>
      <c r="E320" s="297"/>
      <c r="F320" s="298"/>
      <c r="G320" s="299"/>
      <c r="I320" s="288"/>
      <c r="J320" s="289"/>
      <c r="K320" s="290"/>
    </row>
    <row r="321">
      <c r="A321" s="295"/>
      <c r="B321" s="295"/>
      <c r="C321" s="296"/>
      <c r="D321" s="295"/>
      <c r="E321" s="297"/>
      <c r="F321" s="298"/>
      <c r="G321" s="299"/>
      <c r="I321" s="288"/>
      <c r="J321" s="289"/>
      <c r="K321" s="290"/>
    </row>
    <row r="322">
      <c r="A322" s="295"/>
      <c r="B322" s="295"/>
      <c r="C322" s="296"/>
      <c r="D322" s="295"/>
      <c r="E322" s="297"/>
      <c r="F322" s="298"/>
      <c r="G322" s="299"/>
      <c r="I322" s="288"/>
      <c r="J322" s="289"/>
      <c r="K322" s="290"/>
    </row>
    <row r="323">
      <c r="A323" s="295"/>
      <c r="B323" s="295"/>
      <c r="C323" s="296"/>
      <c r="D323" s="295"/>
      <c r="E323" s="297"/>
      <c r="F323" s="298"/>
      <c r="G323" s="299"/>
      <c r="I323" s="288"/>
      <c r="J323" s="289"/>
      <c r="K323" s="290"/>
    </row>
    <row r="324">
      <c r="A324" s="295"/>
      <c r="B324" s="295"/>
      <c r="C324" s="296"/>
      <c r="D324" s="295"/>
      <c r="E324" s="297"/>
      <c r="F324" s="298"/>
      <c r="G324" s="299"/>
      <c r="I324" s="288"/>
      <c r="J324" s="289"/>
      <c r="K324" s="290"/>
    </row>
    <row r="325">
      <c r="A325" s="295"/>
      <c r="B325" s="295"/>
      <c r="C325" s="296"/>
      <c r="D325" s="295"/>
      <c r="E325" s="297"/>
      <c r="F325" s="298"/>
      <c r="G325" s="299"/>
      <c r="I325" s="288"/>
      <c r="J325" s="289"/>
      <c r="K325" s="290"/>
    </row>
    <row r="326">
      <c r="A326" s="295"/>
      <c r="B326" s="295"/>
      <c r="C326" s="296"/>
      <c r="D326" s="295"/>
      <c r="E326" s="297"/>
      <c r="F326" s="298"/>
      <c r="G326" s="299"/>
      <c r="I326" s="288"/>
      <c r="J326" s="289"/>
      <c r="K326" s="290"/>
    </row>
    <row r="327">
      <c r="A327" s="295"/>
      <c r="B327" s="295"/>
      <c r="C327" s="296"/>
      <c r="D327" s="295"/>
      <c r="E327" s="297"/>
      <c r="F327" s="298"/>
      <c r="G327" s="299"/>
      <c r="I327" s="288"/>
      <c r="J327" s="289"/>
      <c r="K327" s="290"/>
    </row>
    <row r="328">
      <c r="A328" s="295"/>
      <c r="B328" s="295"/>
      <c r="C328" s="296"/>
      <c r="D328" s="295"/>
      <c r="E328" s="297"/>
      <c r="F328" s="298"/>
      <c r="G328" s="299"/>
      <c r="I328" s="288"/>
      <c r="J328" s="289"/>
      <c r="K328" s="290"/>
    </row>
    <row r="329">
      <c r="A329" s="295"/>
      <c r="B329" s="295"/>
      <c r="C329" s="296"/>
      <c r="D329" s="295"/>
      <c r="E329" s="297"/>
      <c r="F329" s="298"/>
      <c r="G329" s="299"/>
      <c r="I329" s="288"/>
      <c r="J329" s="289"/>
      <c r="K329" s="290"/>
    </row>
    <row r="330">
      <c r="A330" s="295"/>
      <c r="B330" s="295"/>
      <c r="C330" s="296"/>
      <c r="D330" s="295"/>
      <c r="E330" s="297"/>
      <c r="F330" s="298"/>
      <c r="G330" s="299"/>
      <c r="I330" s="288"/>
      <c r="J330" s="289"/>
      <c r="K330" s="290"/>
    </row>
    <row r="331">
      <c r="A331" s="295"/>
      <c r="B331" s="295"/>
      <c r="C331" s="296"/>
      <c r="D331" s="295"/>
      <c r="E331" s="297"/>
      <c r="F331" s="298"/>
      <c r="G331" s="299"/>
      <c r="I331" s="288"/>
      <c r="J331" s="289"/>
      <c r="K331" s="290"/>
    </row>
    <row r="332">
      <c r="A332" s="295"/>
      <c r="B332" s="295"/>
      <c r="C332" s="296"/>
      <c r="D332" s="295"/>
      <c r="E332" s="297"/>
      <c r="F332" s="298"/>
      <c r="G332" s="299"/>
      <c r="I332" s="288"/>
      <c r="J332" s="289"/>
      <c r="K332" s="290"/>
    </row>
    <row r="333">
      <c r="A333" s="295"/>
      <c r="B333" s="295"/>
      <c r="C333" s="296"/>
      <c r="D333" s="295"/>
      <c r="E333" s="297"/>
      <c r="F333" s="298"/>
      <c r="G333" s="299"/>
      <c r="I333" s="288"/>
      <c r="J333" s="289"/>
      <c r="K333" s="290"/>
    </row>
    <row r="334">
      <c r="A334" s="295"/>
      <c r="B334" s="295"/>
      <c r="C334" s="296"/>
      <c r="D334" s="295"/>
      <c r="E334" s="297"/>
      <c r="F334" s="298"/>
      <c r="G334" s="299"/>
      <c r="I334" s="288"/>
      <c r="J334" s="289"/>
      <c r="K334" s="290"/>
    </row>
    <row r="335">
      <c r="A335" s="295"/>
      <c r="B335" s="295"/>
      <c r="C335" s="296"/>
      <c r="D335" s="295"/>
      <c r="E335" s="297"/>
      <c r="F335" s="298"/>
      <c r="G335" s="299"/>
      <c r="I335" s="288"/>
      <c r="J335" s="289"/>
      <c r="K335" s="290"/>
    </row>
    <row r="336">
      <c r="A336" s="295"/>
      <c r="B336" s="295"/>
      <c r="C336" s="296"/>
      <c r="D336" s="295"/>
      <c r="E336" s="297"/>
      <c r="F336" s="298"/>
      <c r="G336" s="299"/>
      <c r="I336" s="288"/>
      <c r="J336" s="289"/>
      <c r="K336" s="290"/>
    </row>
    <row r="337">
      <c r="A337" s="295"/>
      <c r="B337" s="295"/>
      <c r="C337" s="296"/>
      <c r="D337" s="295"/>
      <c r="E337" s="297"/>
      <c r="F337" s="298"/>
      <c r="G337" s="299"/>
      <c r="I337" s="288"/>
      <c r="J337" s="289"/>
      <c r="K337" s="290"/>
    </row>
    <row r="338">
      <c r="A338" s="295"/>
      <c r="B338" s="295"/>
      <c r="C338" s="296"/>
      <c r="D338" s="295"/>
      <c r="E338" s="297"/>
      <c r="F338" s="298"/>
      <c r="G338" s="299"/>
      <c r="I338" s="288"/>
      <c r="J338" s="289"/>
      <c r="K338" s="290"/>
    </row>
    <row r="339">
      <c r="A339" s="295"/>
      <c r="B339" s="295"/>
      <c r="C339" s="296"/>
      <c r="D339" s="295"/>
      <c r="E339" s="297"/>
      <c r="F339" s="298"/>
      <c r="G339" s="299"/>
      <c r="I339" s="288"/>
      <c r="J339" s="289"/>
      <c r="K339" s="290"/>
    </row>
    <row r="340">
      <c r="A340" s="295"/>
      <c r="B340" s="295"/>
      <c r="C340" s="296"/>
      <c r="D340" s="295"/>
      <c r="E340" s="297"/>
      <c r="F340" s="298"/>
      <c r="G340" s="299"/>
      <c r="I340" s="288"/>
      <c r="J340" s="289"/>
      <c r="K340" s="290"/>
    </row>
    <row r="341">
      <c r="A341" s="295"/>
      <c r="B341" s="295"/>
      <c r="C341" s="296"/>
      <c r="D341" s="295"/>
      <c r="E341" s="297"/>
      <c r="F341" s="298"/>
      <c r="G341" s="299"/>
      <c r="I341" s="288"/>
      <c r="J341" s="289"/>
      <c r="K341" s="290"/>
    </row>
    <row r="342">
      <c r="A342" s="295"/>
      <c r="B342" s="295"/>
      <c r="C342" s="296"/>
      <c r="D342" s="295"/>
      <c r="E342" s="297"/>
      <c r="F342" s="298"/>
      <c r="G342" s="299"/>
      <c r="I342" s="288"/>
      <c r="J342" s="289"/>
      <c r="K342" s="290"/>
    </row>
    <row r="343">
      <c r="A343" s="295"/>
      <c r="B343" s="295"/>
      <c r="C343" s="296"/>
      <c r="D343" s="295"/>
      <c r="E343" s="297"/>
      <c r="F343" s="298"/>
      <c r="G343" s="299"/>
      <c r="I343" s="288"/>
      <c r="J343" s="289"/>
      <c r="K343" s="290"/>
    </row>
    <row r="344">
      <c r="A344" s="295"/>
      <c r="B344" s="295"/>
      <c r="C344" s="296"/>
      <c r="D344" s="295"/>
      <c r="E344" s="297"/>
      <c r="F344" s="298"/>
      <c r="G344" s="299"/>
      <c r="I344" s="288"/>
      <c r="J344" s="289"/>
      <c r="K344" s="290"/>
    </row>
    <row r="345">
      <c r="A345" s="295"/>
      <c r="B345" s="295"/>
      <c r="C345" s="296"/>
      <c r="D345" s="295"/>
      <c r="E345" s="297"/>
      <c r="F345" s="298"/>
      <c r="G345" s="299"/>
      <c r="I345" s="288"/>
      <c r="J345" s="289"/>
      <c r="K345" s="290"/>
    </row>
    <row r="346">
      <c r="A346" s="295"/>
      <c r="B346" s="295"/>
      <c r="C346" s="296"/>
      <c r="D346" s="295"/>
      <c r="E346" s="297"/>
      <c r="F346" s="298"/>
      <c r="G346" s="299"/>
      <c r="I346" s="288"/>
      <c r="J346" s="289"/>
      <c r="K346" s="290"/>
    </row>
    <row r="347">
      <c r="A347" s="295"/>
      <c r="B347" s="295"/>
      <c r="C347" s="296"/>
      <c r="D347" s="295"/>
      <c r="E347" s="297"/>
      <c r="F347" s="298"/>
      <c r="G347" s="299"/>
      <c r="I347" s="288"/>
      <c r="J347" s="289"/>
      <c r="K347" s="290"/>
    </row>
    <row r="348">
      <c r="A348" s="295"/>
      <c r="B348" s="295"/>
      <c r="C348" s="296"/>
      <c r="D348" s="295"/>
      <c r="E348" s="297"/>
      <c r="F348" s="298"/>
      <c r="G348" s="299"/>
      <c r="I348" s="288"/>
      <c r="J348" s="289"/>
      <c r="K348" s="290"/>
    </row>
    <row r="349">
      <c r="A349" s="295"/>
      <c r="B349" s="295"/>
      <c r="C349" s="296"/>
      <c r="D349" s="295"/>
      <c r="E349" s="297"/>
      <c r="F349" s="298"/>
      <c r="G349" s="299"/>
      <c r="I349" s="288"/>
      <c r="J349" s="289"/>
      <c r="K349" s="290"/>
    </row>
    <row r="350">
      <c r="A350" s="295"/>
      <c r="B350" s="295"/>
      <c r="C350" s="296"/>
      <c r="D350" s="295"/>
      <c r="E350" s="297"/>
      <c r="F350" s="298"/>
      <c r="G350" s="299"/>
      <c r="I350" s="288"/>
      <c r="J350" s="289"/>
      <c r="K350" s="290"/>
    </row>
    <row r="351">
      <c r="A351" s="295"/>
      <c r="B351" s="295"/>
      <c r="C351" s="296"/>
      <c r="D351" s="295"/>
      <c r="E351" s="297"/>
      <c r="F351" s="298"/>
      <c r="G351" s="299"/>
      <c r="I351" s="288"/>
      <c r="J351" s="289"/>
      <c r="K351" s="290"/>
    </row>
    <row r="352">
      <c r="A352" s="295"/>
      <c r="B352" s="295"/>
      <c r="C352" s="296"/>
      <c r="D352" s="295"/>
      <c r="E352" s="297"/>
      <c r="F352" s="298"/>
      <c r="G352" s="299"/>
      <c r="I352" s="288"/>
      <c r="J352" s="289"/>
      <c r="K352" s="290"/>
    </row>
    <row r="353">
      <c r="A353" s="295"/>
      <c r="B353" s="295"/>
      <c r="C353" s="296"/>
      <c r="D353" s="295"/>
      <c r="E353" s="297"/>
      <c r="F353" s="298"/>
      <c r="G353" s="299"/>
      <c r="I353" s="288"/>
      <c r="J353" s="289"/>
      <c r="K353" s="290"/>
    </row>
    <row r="354">
      <c r="A354" s="295"/>
      <c r="B354" s="295"/>
      <c r="C354" s="296"/>
      <c r="D354" s="295"/>
      <c r="E354" s="297"/>
      <c r="F354" s="298"/>
      <c r="G354" s="299"/>
      <c r="I354" s="288"/>
      <c r="J354" s="289"/>
      <c r="K354" s="290"/>
    </row>
    <row r="355">
      <c r="A355" s="295"/>
      <c r="B355" s="295"/>
      <c r="C355" s="296"/>
      <c r="D355" s="295"/>
      <c r="E355" s="297"/>
      <c r="F355" s="298"/>
      <c r="G355" s="299"/>
      <c r="I355" s="288"/>
      <c r="J355" s="289"/>
      <c r="K355" s="290"/>
    </row>
    <row r="356">
      <c r="A356" s="295"/>
      <c r="B356" s="295"/>
      <c r="C356" s="296"/>
      <c r="D356" s="295"/>
      <c r="E356" s="297"/>
      <c r="F356" s="298"/>
      <c r="G356" s="299"/>
      <c r="I356" s="288"/>
      <c r="J356" s="289"/>
      <c r="K356" s="290"/>
    </row>
    <row r="357">
      <c r="A357" s="295"/>
      <c r="B357" s="295"/>
      <c r="C357" s="296"/>
      <c r="D357" s="295"/>
      <c r="E357" s="297"/>
      <c r="F357" s="298"/>
      <c r="G357" s="299"/>
      <c r="I357" s="288"/>
      <c r="J357" s="289"/>
      <c r="K357" s="290"/>
    </row>
    <row r="358">
      <c r="A358" s="295"/>
      <c r="B358" s="295"/>
      <c r="C358" s="296"/>
      <c r="D358" s="295"/>
      <c r="E358" s="297"/>
      <c r="F358" s="298"/>
      <c r="G358" s="299"/>
      <c r="I358" s="288"/>
      <c r="J358" s="289"/>
      <c r="K358" s="290"/>
    </row>
    <row r="359">
      <c r="A359" s="295"/>
      <c r="B359" s="295"/>
      <c r="C359" s="296"/>
      <c r="D359" s="295"/>
      <c r="E359" s="297"/>
      <c r="F359" s="298"/>
      <c r="G359" s="299"/>
      <c r="I359" s="288"/>
      <c r="J359" s="289"/>
      <c r="K359" s="290"/>
    </row>
    <row r="360">
      <c r="A360" s="295"/>
      <c r="B360" s="295"/>
      <c r="C360" s="296"/>
      <c r="D360" s="295"/>
      <c r="E360" s="297"/>
      <c r="F360" s="298"/>
      <c r="G360" s="299"/>
      <c r="I360" s="288"/>
      <c r="J360" s="289"/>
      <c r="K360" s="290"/>
    </row>
    <row r="361">
      <c r="A361" s="295"/>
      <c r="B361" s="295"/>
      <c r="C361" s="296"/>
      <c r="D361" s="295"/>
      <c r="E361" s="297"/>
      <c r="F361" s="298"/>
      <c r="G361" s="299"/>
      <c r="I361" s="288"/>
      <c r="J361" s="289"/>
      <c r="K361" s="290"/>
    </row>
    <row r="362">
      <c r="A362" s="295"/>
      <c r="B362" s="295"/>
      <c r="C362" s="296"/>
      <c r="D362" s="295"/>
      <c r="E362" s="297"/>
      <c r="F362" s="298"/>
      <c r="G362" s="299"/>
      <c r="I362" s="288"/>
      <c r="J362" s="289"/>
      <c r="K362" s="290"/>
    </row>
    <row r="363">
      <c r="A363" s="295"/>
      <c r="B363" s="295"/>
      <c r="C363" s="296"/>
      <c r="D363" s="295"/>
      <c r="E363" s="297"/>
      <c r="F363" s="298"/>
      <c r="G363" s="299"/>
      <c r="I363" s="288"/>
      <c r="J363" s="289"/>
      <c r="K363" s="290"/>
    </row>
    <row r="364">
      <c r="A364" s="295"/>
      <c r="B364" s="295"/>
      <c r="C364" s="296"/>
      <c r="D364" s="295"/>
      <c r="E364" s="297"/>
      <c r="F364" s="298"/>
      <c r="G364" s="299"/>
      <c r="I364" s="288"/>
      <c r="J364" s="289"/>
      <c r="K364" s="290"/>
    </row>
    <row r="365">
      <c r="A365" s="295"/>
      <c r="B365" s="295"/>
      <c r="C365" s="296"/>
      <c r="D365" s="295"/>
      <c r="E365" s="297"/>
      <c r="F365" s="298"/>
      <c r="G365" s="299"/>
      <c r="I365" s="288"/>
      <c r="J365" s="289"/>
      <c r="K365" s="290"/>
    </row>
    <row r="366">
      <c r="A366" s="295"/>
      <c r="B366" s="295"/>
      <c r="C366" s="296"/>
      <c r="D366" s="295"/>
      <c r="E366" s="297"/>
      <c r="F366" s="298"/>
      <c r="G366" s="299"/>
      <c r="I366" s="288"/>
      <c r="J366" s="289"/>
      <c r="K366" s="290"/>
    </row>
    <row r="367">
      <c r="A367" s="295"/>
      <c r="B367" s="295"/>
      <c r="C367" s="296"/>
      <c r="D367" s="295"/>
      <c r="E367" s="297"/>
      <c r="F367" s="298"/>
      <c r="G367" s="299"/>
      <c r="I367" s="288"/>
      <c r="J367" s="289"/>
      <c r="K367" s="290"/>
    </row>
    <row r="368">
      <c r="A368" s="295"/>
      <c r="B368" s="295"/>
      <c r="C368" s="296"/>
      <c r="D368" s="295"/>
      <c r="E368" s="297"/>
      <c r="F368" s="298"/>
      <c r="G368" s="299"/>
      <c r="I368" s="288"/>
      <c r="J368" s="289"/>
      <c r="K368" s="290"/>
    </row>
    <row r="369">
      <c r="A369" s="295"/>
      <c r="B369" s="295"/>
      <c r="C369" s="296"/>
      <c r="D369" s="295"/>
      <c r="E369" s="297"/>
      <c r="F369" s="298"/>
      <c r="G369" s="299"/>
      <c r="I369" s="288"/>
      <c r="J369" s="289"/>
      <c r="K369" s="290"/>
    </row>
    <row r="370">
      <c r="A370" s="295"/>
      <c r="B370" s="295"/>
      <c r="C370" s="296"/>
      <c r="D370" s="295"/>
      <c r="E370" s="297"/>
      <c r="F370" s="298"/>
      <c r="G370" s="299"/>
      <c r="I370" s="288"/>
      <c r="J370" s="289"/>
      <c r="K370" s="290"/>
    </row>
    <row r="371">
      <c r="A371" s="295"/>
      <c r="B371" s="295"/>
      <c r="C371" s="296"/>
      <c r="D371" s="295"/>
      <c r="E371" s="297"/>
      <c r="F371" s="298"/>
      <c r="G371" s="299"/>
      <c r="I371" s="288"/>
      <c r="J371" s="289"/>
      <c r="K371" s="290"/>
    </row>
    <row r="372">
      <c r="A372" s="295"/>
      <c r="B372" s="295"/>
      <c r="C372" s="296"/>
      <c r="D372" s="295"/>
      <c r="E372" s="297"/>
      <c r="F372" s="298"/>
      <c r="G372" s="299"/>
      <c r="I372" s="288"/>
      <c r="J372" s="289"/>
      <c r="K372" s="290"/>
    </row>
    <row r="373">
      <c r="A373" s="295"/>
      <c r="B373" s="295"/>
      <c r="C373" s="296"/>
      <c r="D373" s="295"/>
      <c r="E373" s="297"/>
      <c r="F373" s="298"/>
      <c r="G373" s="299"/>
      <c r="I373" s="288"/>
      <c r="J373" s="289"/>
      <c r="K373" s="290"/>
    </row>
    <row r="374">
      <c r="A374" s="295"/>
      <c r="B374" s="295"/>
      <c r="C374" s="296"/>
      <c r="D374" s="295"/>
      <c r="E374" s="297"/>
      <c r="F374" s="298"/>
      <c r="G374" s="299"/>
      <c r="I374" s="288"/>
      <c r="J374" s="289"/>
      <c r="K374" s="290"/>
    </row>
    <row r="375">
      <c r="A375" s="295"/>
      <c r="B375" s="295"/>
      <c r="C375" s="296"/>
      <c r="D375" s="295"/>
      <c r="E375" s="297"/>
      <c r="F375" s="298"/>
      <c r="G375" s="299"/>
      <c r="I375" s="288"/>
      <c r="J375" s="289"/>
      <c r="K375" s="290"/>
    </row>
    <row r="376">
      <c r="A376" s="295"/>
      <c r="B376" s="295"/>
      <c r="C376" s="296"/>
      <c r="D376" s="295"/>
      <c r="E376" s="297"/>
      <c r="F376" s="298"/>
      <c r="G376" s="299"/>
      <c r="I376" s="288"/>
      <c r="J376" s="289"/>
      <c r="K376" s="290"/>
    </row>
    <row r="377">
      <c r="A377" s="295"/>
      <c r="B377" s="295"/>
      <c r="C377" s="296"/>
      <c r="D377" s="295"/>
      <c r="E377" s="297"/>
      <c r="F377" s="298"/>
      <c r="G377" s="299"/>
      <c r="I377" s="288"/>
      <c r="J377" s="289"/>
      <c r="K377" s="290"/>
    </row>
    <row r="378">
      <c r="A378" s="295"/>
      <c r="B378" s="295"/>
      <c r="C378" s="296"/>
      <c r="D378" s="295"/>
      <c r="E378" s="297"/>
      <c r="F378" s="298"/>
      <c r="G378" s="299"/>
      <c r="I378" s="288"/>
      <c r="J378" s="289"/>
      <c r="K378" s="290"/>
    </row>
    <row r="379">
      <c r="A379" s="295"/>
      <c r="B379" s="295"/>
      <c r="C379" s="296"/>
      <c r="D379" s="295"/>
      <c r="E379" s="297"/>
      <c r="F379" s="298"/>
      <c r="G379" s="299"/>
      <c r="I379" s="288"/>
      <c r="J379" s="289"/>
      <c r="K379" s="290"/>
    </row>
    <row r="380">
      <c r="A380" s="295"/>
      <c r="B380" s="295"/>
      <c r="C380" s="296"/>
      <c r="D380" s="295"/>
      <c r="E380" s="297"/>
      <c r="F380" s="298"/>
      <c r="G380" s="299"/>
      <c r="I380" s="288"/>
      <c r="J380" s="289"/>
      <c r="K380" s="290"/>
    </row>
    <row r="381">
      <c r="A381" s="295"/>
      <c r="B381" s="295"/>
      <c r="C381" s="296"/>
      <c r="D381" s="295"/>
      <c r="E381" s="297"/>
      <c r="F381" s="298"/>
      <c r="G381" s="299"/>
      <c r="I381" s="288"/>
      <c r="J381" s="289"/>
      <c r="K381" s="290"/>
    </row>
    <row r="382">
      <c r="A382" s="295"/>
      <c r="B382" s="295"/>
      <c r="C382" s="296"/>
      <c r="D382" s="295"/>
      <c r="E382" s="297"/>
      <c r="F382" s="298"/>
      <c r="G382" s="299"/>
      <c r="I382" s="288"/>
      <c r="J382" s="289"/>
      <c r="K382" s="290"/>
    </row>
    <row r="383">
      <c r="A383" s="295"/>
      <c r="B383" s="295"/>
      <c r="C383" s="296"/>
      <c r="D383" s="295"/>
      <c r="E383" s="297"/>
      <c r="F383" s="298"/>
      <c r="G383" s="299"/>
      <c r="I383" s="288"/>
      <c r="J383" s="289"/>
      <c r="K383" s="290"/>
    </row>
    <row r="384">
      <c r="A384" s="295"/>
      <c r="B384" s="295"/>
      <c r="C384" s="296"/>
      <c r="D384" s="295"/>
      <c r="E384" s="297"/>
      <c r="F384" s="298"/>
      <c r="G384" s="299"/>
      <c r="I384" s="288"/>
      <c r="J384" s="289"/>
      <c r="K384" s="290"/>
    </row>
    <row r="385">
      <c r="A385" s="295"/>
      <c r="B385" s="295"/>
      <c r="C385" s="296"/>
      <c r="D385" s="295"/>
      <c r="E385" s="297"/>
      <c r="F385" s="298"/>
      <c r="G385" s="299"/>
      <c r="I385" s="288"/>
      <c r="J385" s="289"/>
      <c r="K385" s="290"/>
    </row>
    <row r="386">
      <c r="A386" s="295"/>
      <c r="B386" s="295"/>
      <c r="C386" s="296"/>
      <c r="D386" s="295"/>
      <c r="E386" s="297"/>
      <c r="F386" s="298"/>
      <c r="G386" s="299"/>
      <c r="I386" s="288"/>
      <c r="J386" s="289"/>
      <c r="K386" s="290"/>
    </row>
    <row r="387">
      <c r="A387" s="295"/>
      <c r="B387" s="295"/>
      <c r="C387" s="296"/>
      <c r="D387" s="295"/>
      <c r="E387" s="297"/>
      <c r="F387" s="298"/>
      <c r="G387" s="299"/>
      <c r="I387" s="288"/>
      <c r="J387" s="289"/>
      <c r="K387" s="290"/>
    </row>
    <row r="388">
      <c r="A388" s="295"/>
      <c r="B388" s="295"/>
      <c r="C388" s="296"/>
      <c r="D388" s="295"/>
      <c r="E388" s="297"/>
      <c r="F388" s="298"/>
      <c r="G388" s="299"/>
      <c r="I388" s="288"/>
      <c r="J388" s="289"/>
      <c r="K388" s="290"/>
    </row>
    <row r="389">
      <c r="A389" s="295"/>
      <c r="B389" s="295"/>
      <c r="C389" s="296"/>
      <c r="D389" s="295"/>
      <c r="E389" s="297"/>
      <c r="F389" s="298"/>
      <c r="G389" s="299"/>
      <c r="I389" s="288"/>
      <c r="J389" s="289"/>
      <c r="K389" s="290"/>
    </row>
    <row r="390">
      <c r="A390" s="295"/>
      <c r="B390" s="295"/>
      <c r="C390" s="296"/>
      <c r="D390" s="295"/>
      <c r="E390" s="297"/>
      <c r="F390" s="298"/>
      <c r="G390" s="299"/>
      <c r="I390" s="288"/>
      <c r="J390" s="289"/>
      <c r="K390" s="290"/>
    </row>
    <row r="391">
      <c r="A391" s="295"/>
      <c r="B391" s="295"/>
      <c r="C391" s="296"/>
      <c r="D391" s="295"/>
      <c r="E391" s="297"/>
      <c r="F391" s="298"/>
      <c r="G391" s="299"/>
      <c r="I391" s="288"/>
      <c r="J391" s="289"/>
      <c r="K391" s="290"/>
    </row>
    <row r="392">
      <c r="A392" s="295"/>
      <c r="B392" s="295"/>
      <c r="C392" s="296"/>
      <c r="D392" s="295"/>
      <c r="E392" s="297"/>
      <c r="F392" s="298"/>
      <c r="G392" s="299"/>
      <c r="I392" s="288"/>
      <c r="J392" s="289"/>
      <c r="K392" s="290"/>
    </row>
    <row r="393">
      <c r="A393" s="295"/>
      <c r="B393" s="295"/>
      <c r="C393" s="296"/>
      <c r="D393" s="295"/>
      <c r="E393" s="297"/>
      <c r="F393" s="298"/>
      <c r="G393" s="299"/>
      <c r="I393" s="288"/>
      <c r="J393" s="289"/>
      <c r="K393" s="290"/>
    </row>
    <row r="394">
      <c r="A394" s="295"/>
      <c r="B394" s="295"/>
      <c r="C394" s="296"/>
      <c r="D394" s="295"/>
      <c r="E394" s="297"/>
      <c r="F394" s="298"/>
      <c r="G394" s="299"/>
      <c r="I394" s="288"/>
      <c r="J394" s="289"/>
      <c r="K394" s="290"/>
    </row>
    <row r="395">
      <c r="A395" s="295"/>
      <c r="B395" s="295"/>
      <c r="C395" s="296"/>
      <c r="D395" s="295"/>
      <c r="E395" s="297"/>
      <c r="F395" s="298"/>
      <c r="G395" s="299"/>
      <c r="I395" s="288"/>
      <c r="J395" s="289"/>
      <c r="K395" s="290"/>
    </row>
    <row r="396">
      <c r="A396" s="295"/>
      <c r="B396" s="295"/>
      <c r="C396" s="296"/>
      <c r="D396" s="295"/>
      <c r="E396" s="297"/>
      <c r="F396" s="298"/>
      <c r="G396" s="299"/>
      <c r="I396" s="288"/>
      <c r="J396" s="289"/>
      <c r="K396" s="290"/>
    </row>
    <row r="397">
      <c r="A397" s="295"/>
      <c r="B397" s="295"/>
      <c r="C397" s="296"/>
      <c r="D397" s="295"/>
      <c r="E397" s="297"/>
      <c r="F397" s="298"/>
      <c r="G397" s="299"/>
      <c r="I397" s="288"/>
      <c r="J397" s="289"/>
      <c r="K397" s="290"/>
    </row>
    <row r="398">
      <c r="A398" s="295"/>
      <c r="B398" s="295"/>
      <c r="C398" s="296"/>
      <c r="D398" s="295"/>
      <c r="E398" s="297"/>
      <c r="F398" s="298"/>
      <c r="G398" s="299"/>
      <c r="I398" s="288"/>
      <c r="J398" s="289"/>
      <c r="K398" s="290"/>
    </row>
    <row r="399">
      <c r="A399" s="295"/>
      <c r="B399" s="295"/>
      <c r="C399" s="296"/>
      <c r="D399" s="295"/>
      <c r="E399" s="297"/>
      <c r="F399" s="298"/>
      <c r="G399" s="299"/>
      <c r="I399" s="288"/>
      <c r="J399" s="289"/>
      <c r="K399" s="290"/>
    </row>
    <row r="400">
      <c r="A400" s="295"/>
      <c r="B400" s="295"/>
      <c r="C400" s="296"/>
      <c r="D400" s="295"/>
      <c r="E400" s="297"/>
      <c r="F400" s="298"/>
      <c r="G400" s="299"/>
      <c r="I400" s="288"/>
      <c r="J400" s="289"/>
      <c r="K400" s="290"/>
    </row>
    <row r="401">
      <c r="A401" s="295"/>
      <c r="B401" s="295"/>
      <c r="C401" s="296"/>
      <c r="D401" s="295"/>
      <c r="E401" s="297"/>
      <c r="F401" s="298"/>
      <c r="G401" s="299"/>
      <c r="I401" s="288"/>
      <c r="J401" s="289"/>
      <c r="K401" s="290"/>
    </row>
    <row r="402">
      <c r="A402" s="295"/>
      <c r="B402" s="295"/>
      <c r="C402" s="296"/>
      <c r="D402" s="295"/>
      <c r="E402" s="297"/>
      <c r="F402" s="298"/>
      <c r="G402" s="299"/>
      <c r="I402" s="288"/>
      <c r="J402" s="289"/>
      <c r="K402" s="290"/>
    </row>
    <row r="403">
      <c r="A403" s="295"/>
      <c r="B403" s="295"/>
      <c r="C403" s="296"/>
      <c r="D403" s="295"/>
      <c r="E403" s="297"/>
      <c r="F403" s="298"/>
      <c r="G403" s="299"/>
      <c r="I403" s="288"/>
      <c r="J403" s="289"/>
      <c r="K403" s="290"/>
    </row>
    <row r="404">
      <c r="A404" s="295"/>
      <c r="B404" s="295"/>
      <c r="C404" s="296"/>
      <c r="D404" s="295"/>
      <c r="E404" s="297"/>
      <c r="F404" s="298"/>
      <c r="G404" s="299"/>
      <c r="I404" s="288"/>
      <c r="J404" s="289"/>
      <c r="K404" s="290"/>
    </row>
    <row r="405">
      <c r="A405" s="295"/>
      <c r="B405" s="295"/>
      <c r="C405" s="296"/>
      <c r="D405" s="295"/>
      <c r="E405" s="297"/>
      <c r="F405" s="298"/>
      <c r="G405" s="299"/>
      <c r="I405" s="288"/>
      <c r="J405" s="289"/>
      <c r="K405" s="290"/>
    </row>
    <row r="406">
      <c r="A406" s="295"/>
      <c r="B406" s="295"/>
      <c r="C406" s="296"/>
      <c r="D406" s="295"/>
      <c r="E406" s="297"/>
      <c r="F406" s="298"/>
      <c r="G406" s="299"/>
      <c r="I406" s="288"/>
      <c r="J406" s="289"/>
      <c r="K406" s="290"/>
    </row>
    <row r="407">
      <c r="A407" s="295"/>
      <c r="B407" s="295"/>
      <c r="C407" s="296"/>
      <c r="D407" s="295"/>
      <c r="E407" s="297"/>
      <c r="F407" s="298"/>
      <c r="G407" s="299"/>
      <c r="I407" s="288"/>
      <c r="J407" s="289"/>
      <c r="K407" s="290"/>
    </row>
    <row r="408">
      <c r="A408" s="295"/>
      <c r="B408" s="295"/>
      <c r="C408" s="296"/>
      <c r="D408" s="295"/>
      <c r="E408" s="297"/>
      <c r="F408" s="298"/>
      <c r="G408" s="299"/>
      <c r="I408" s="288"/>
      <c r="J408" s="289"/>
      <c r="K408" s="290"/>
    </row>
    <row r="409">
      <c r="A409" s="295"/>
      <c r="B409" s="295"/>
      <c r="C409" s="296"/>
      <c r="D409" s="295"/>
      <c r="E409" s="297"/>
      <c r="F409" s="298"/>
      <c r="G409" s="299"/>
      <c r="I409" s="288"/>
      <c r="J409" s="289"/>
      <c r="K409" s="290"/>
    </row>
    <row r="410">
      <c r="A410" s="295"/>
      <c r="B410" s="295"/>
      <c r="C410" s="296"/>
      <c r="D410" s="295"/>
      <c r="E410" s="297"/>
      <c r="F410" s="298"/>
      <c r="G410" s="299"/>
      <c r="I410" s="288"/>
      <c r="J410" s="289"/>
      <c r="K410" s="290"/>
    </row>
    <row r="411">
      <c r="A411" s="295"/>
      <c r="B411" s="295"/>
      <c r="C411" s="296"/>
      <c r="D411" s="295"/>
      <c r="E411" s="297"/>
      <c r="F411" s="298"/>
      <c r="G411" s="299"/>
      <c r="I411" s="288"/>
      <c r="J411" s="289"/>
      <c r="K411" s="290"/>
    </row>
    <row r="412">
      <c r="A412" s="295"/>
      <c r="B412" s="295"/>
      <c r="C412" s="296"/>
      <c r="D412" s="295"/>
      <c r="E412" s="297"/>
      <c r="F412" s="298"/>
      <c r="G412" s="299"/>
      <c r="I412" s="288"/>
      <c r="J412" s="289"/>
      <c r="K412" s="290"/>
    </row>
    <row r="413">
      <c r="A413" s="295"/>
      <c r="B413" s="295"/>
      <c r="C413" s="296"/>
      <c r="D413" s="295"/>
      <c r="E413" s="297"/>
      <c r="F413" s="298"/>
      <c r="G413" s="299"/>
      <c r="I413" s="288"/>
      <c r="J413" s="289"/>
      <c r="K413" s="290"/>
    </row>
    <row r="414">
      <c r="A414" s="295"/>
      <c r="B414" s="295"/>
      <c r="C414" s="296"/>
      <c r="D414" s="295"/>
      <c r="E414" s="297"/>
      <c r="F414" s="298"/>
      <c r="G414" s="299"/>
      <c r="I414" s="288"/>
      <c r="J414" s="289"/>
      <c r="K414" s="290"/>
    </row>
    <row r="415">
      <c r="A415" s="295"/>
      <c r="B415" s="295"/>
      <c r="C415" s="296"/>
      <c r="D415" s="295"/>
      <c r="E415" s="297"/>
      <c r="F415" s="298"/>
      <c r="G415" s="299"/>
      <c r="I415" s="288"/>
      <c r="J415" s="289"/>
      <c r="K415" s="290"/>
    </row>
    <row r="416">
      <c r="A416" s="295"/>
      <c r="B416" s="295"/>
      <c r="C416" s="296"/>
      <c r="D416" s="295"/>
      <c r="E416" s="297"/>
      <c r="F416" s="298"/>
      <c r="G416" s="299"/>
      <c r="I416" s="288"/>
      <c r="J416" s="289"/>
      <c r="K416" s="290"/>
    </row>
    <row r="417">
      <c r="A417" s="295"/>
      <c r="B417" s="295"/>
      <c r="C417" s="296"/>
      <c r="D417" s="295"/>
      <c r="E417" s="297"/>
      <c r="F417" s="298"/>
      <c r="G417" s="299"/>
      <c r="I417" s="288"/>
      <c r="J417" s="289"/>
      <c r="K417" s="290"/>
    </row>
    <row r="418">
      <c r="A418" s="295"/>
      <c r="B418" s="295"/>
      <c r="C418" s="296"/>
      <c r="D418" s="295"/>
      <c r="E418" s="297"/>
      <c r="F418" s="298"/>
      <c r="G418" s="299"/>
      <c r="I418" s="288"/>
      <c r="J418" s="289"/>
      <c r="K418" s="290"/>
    </row>
    <row r="419">
      <c r="A419" s="295"/>
      <c r="B419" s="295"/>
      <c r="C419" s="296"/>
      <c r="D419" s="295"/>
      <c r="E419" s="297"/>
      <c r="F419" s="298"/>
      <c r="G419" s="299"/>
      <c r="I419" s="288"/>
      <c r="J419" s="289"/>
      <c r="K419" s="290"/>
    </row>
    <row r="420">
      <c r="A420" s="295"/>
      <c r="B420" s="295"/>
      <c r="C420" s="296"/>
      <c r="D420" s="295"/>
      <c r="E420" s="297"/>
      <c r="F420" s="298"/>
      <c r="G420" s="299"/>
      <c r="I420" s="288"/>
      <c r="J420" s="289"/>
      <c r="K420" s="290"/>
    </row>
    <row r="421">
      <c r="A421" s="295"/>
      <c r="B421" s="295"/>
      <c r="C421" s="296"/>
      <c r="D421" s="295"/>
      <c r="E421" s="297"/>
      <c r="F421" s="298"/>
      <c r="G421" s="299"/>
      <c r="I421" s="288"/>
      <c r="J421" s="289"/>
      <c r="K421" s="290"/>
    </row>
    <row r="422">
      <c r="A422" s="295"/>
      <c r="B422" s="295"/>
      <c r="C422" s="296"/>
      <c r="D422" s="295"/>
      <c r="E422" s="297"/>
      <c r="F422" s="298"/>
      <c r="G422" s="299"/>
      <c r="I422" s="288"/>
      <c r="J422" s="289"/>
      <c r="K422" s="290"/>
    </row>
    <row r="423">
      <c r="A423" s="295"/>
      <c r="B423" s="295"/>
      <c r="C423" s="296"/>
      <c r="D423" s="295"/>
      <c r="E423" s="297"/>
      <c r="F423" s="298"/>
      <c r="G423" s="299"/>
      <c r="I423" s="288"/>
      <c r="J423" s="289"/>
      <c r="K423" s="290"/>
    </row>
    <row r="424">
      <c r="A424" s="295"/>
      <c r="B424" s="295"/>
      <c r="C424" s="296"/>
      <c r="D424" s="295"/>
      <c r="E424" s="297"/>
      <c r="F424" s="298"/>
      <c r="G424" s="299"/>
      <c r="I424" s="288"/>
      <c r="J424" s="289"/>
      <c r="K424" s="290"/>
    </row>
    <row r="425">
      <c r="A425" s="295"/>
      <c r="B425" s="295"/>
      <c r="C425" s="296"/>
      <c r="D425" s="295"/>
      <c r="E425" s="297"/>
      <c r="F425" s="298"/>
      <c r="G425" s="299"/>
      <c r="I425" s="288"/>
      <c r="J425" s="289"/>
      <c r="K425" s="290"/>
    </row>
    <row r="426">
      <c r="A426" s="295"/>
      <c r="B426" s="295"/>
      <c r="C426" s="296"/>
      <c r="D426" s="295"/>
      <c r="E426" s="297"/>
      <c r="F426" s="298"/>
      <c r="G426" s="299"/>
      <c r="I426" s="288"/>
      <c r="J426" s="289"/>
      <c r="K426" s="290"/>
    </row>
    <row r="427">
      <c r="A427" s="295"/>
      <c r="B427" s="295"/>
      <c r="C427" s="296"/>
      <c r="D427" s="295"/>
      <c r="E427" s="297"/>
      <c r="F427" s="298"/>
      <c r="G427" s="299"/>
      <c r="I427" s="288"/>
      <c r="J427" s="289"/>
      <c r="K427" s="290"/>
    </row>
    <row r="428">
      <c r="A428" s="295"/>
      <c r="B428" s="295"/>
      <c r="C428" s="296"/>
      <c r="D428" s="295"/>
      <c r="E428" s="297"/>
      <c r="F428" s="298"/>
      <c r="G428" s="299"/>
      <c r="I428" s="288"/>
      <c r="J428" s="289"/>
      <c r="K428" s="290"/>
    </row>
    <row r="429">
      <c r="A429" s="295"/>
      <c r="B429" s="295"/>
      <c r="C429" s="296"/>
      <c r="D429" s="295"/>
      <c r="E429" s="297"/>
      <c r="F429" s="298"/>
      <c r="G429" s="299"/>
      <c r="I429" s="288"/>
      <c r="J429" s="289"/>
      <c r="K429" s="290"/>
    </row>
    <row r="430">
      <c r="A430" s="295"/>
      <c r="B430" s="295"/>
      <c r="C430" s="296"/>
      <c r="D430" s="295"/>
      <c r="E430" s="297"/>
      <c r="F430" s="298"/>
      <c r="G430" s="299"/>
      <c r="I430" s="288"/>
      <c r="J430" s="289"/>
      <c r="K430" s="290"/>
    </row>
    <row r="431">
      <c r="A431" s="295"/>
      <c r="B431" s="295"/>
      <c r="C431" s="296"/>
      <c r="D431" s="295"/>
      <c r="E431" s="297"/>
      <c r="F431" s="298"/>
      <c r="G431" s="299"/>
      <c r="I431" s="288"/>
      <c r="J431" s="289"/>
      <c r="K431" s="290"/>
    </row>
    <row r="432">
      <c r="A432" s="295"/>
      <c r="B432" s="295"/>
      <c r="C432" s="296"/>
      <c r="D432" s="295"/>
      <c r="E432" s="297"/>
      <c r="F432" s="298"/>
      <c r="G432" s="299"/>
      <c r="I432" s="288"/>
      <c r="J432" s="289"/>
      <c r="K432" s="290"/>
    </row>
    <row r="433">
      <c r="A433" s="295"/>
      <c r="B433" s="295"/>
      <c r="C433" s="296"/>
      <c r="D433" s="295"/>
      <c r="E433" s="297"/>
      <c r="F433" s="298"/>
      <c r="G433" s="299"/>
      <c r="I433" s="288"/>
      <c r="J433" s="289"/>
      <c r="K433" s="290"/>
    </row>
    <row r="434">
      <c r="A434" s="295"/>
      <c r="B434" s="295"/>
      <c r="C434" s="296"/>
      <c r="D434" s="295"/>
      <c r="E434" s="297"/>
      <c r="F434" s="298"/>
      <c r="G434" s="299"/>
      <c r="I434" s="288"/>
      <c r="J434" s="289"/>
      <c r="K434" s="290"/>
    </row>
    <row r="435">
      <c r="A435" s="295"/>
      <c r="B435" s="295"/>
      <c r="C435" s="296"/>
      <c r="D435" s="295"/>
      <c r="E435" s="297"/>
      <c r="F435" s="298"/>
      <c r="G435" s="299"/>
      <c r="I435" s="288"/>
      <c r="J435" s="289"/>
      <c r="K435" s="290"/>
    </row>
    <row r="436">
      <c r="A436" s="295"/>
      <c r="B436" s="295"/>
      <c r="C436" s="296"/>
      <c r="D436" s="295"/>
      <c r="E436" s="297"/>
      <c r="F436" s="298"/>
      <c r="G436" s="299"/>
      <c r="I436" s="288"/>
      <c r="J436" s="289"/>
      <c r="K436" s="290"/>
    </row>
    <row r="437">
      <c r="A437" s="295"/>
      <c r="B437" s="295"/>
      <c r="C437" s="296"/>
      <c r="D437" s="295"/>
      <c r="E437" s="297"/>
      <c r="F437" s="298"/>
      <c r="G437" s="299"/>
      <c r="I437" s="288"/>
      <c r="J437" s="289"/>
      <c r="K437" s="290"/>
    </row>
    <row r="438">
      <c r="A438" s="295"/>
      <c r="B438" s="295"/>
      <c r="C438" s="296"/>
      <c r="D438" s="295"/>
      <c r="E438" s="297"/>
      <c r="F438" s="298"/>
      <c r="G438" s="299"/>
      <c r="I438" s="288"/>
      <c r="J438" s="289"/>
      <c r="K438" s="290"/>
    </row>
    <row r="439">
      <c r="A439" s="295"/>
      <c r="B439" s="295"/>
      <c r="C439" s="296"/>
      <c r="D439" s="295"/>
      <c r="E439" s="297"/>
      <c r="F439" s="298"/>
      <c r="G439" s="299"/>
      <c r="I439" s="288"/>
      <c r="J439" s="289"/>
      <c r="K439" s="290"/>
    </row>
    <row r="440">
      <c r="A440" s="295"/>
      <c r="B440" s="295"/>
      <c r="C440" s="296"/>
      <c r="D440" s="295"/>
      <c r="E440" s="297"/>
      <c r="F440" s="298"/>
      <c r="G440" s="299"/>
      <c r="I440" s="288"/>
      <c r="J440" s="289"/>
      <c r="K440" s="290"/>
    </row>
    <row r="441">
      <c r="A441" s="295"/>
      <c r="B441" s="295"/>
      <c r="C441" s="296"/>
      <c r="D441" s="295"/>
      <c r="E441" s="297"/>
      <c r="F441" s="298"/>
      <c r="G441" s="299"/>
      <c r="I441" s="288"/>
      <c r="J441" s="289"/>
      <c r="K441" s="290"/>
    </row>
    <row r="442">
      <c r="A442" s="295"/>
      <c r="B442" s="295"/>
      <c r="C442" s="296"/>
      <c r="D442" s="295"/>
      <c r="E442" s="297"/>
      <c r="F442" s="298"/>
      <c r="G442" s="299"/>
      <c r="I442" s="288"/>
      <c r="J442" s="289"/>
      <c r="K442" s="290"/>
    </row>
    <row r="443">
      <c r="A443" s="295"/>
      <c r="B443" s="295"/>
      <c r="C443" s="296"/>
      <c r="D443" s="295"/>
      <c r="E443" s="297"/>
      <c r="F443" s="298"/>
      <c r="G443" s="299"/>
      <c r="I443" s="288"/>
      <c r="J443" s="289"/>
      <c r="K443" s="290"/>
    </row>
    <row r="444">
      <c r="A444" s="295"/>
      <c r="B444" s="295"/>
      <c r="C444" s="296"/>
      <c r="D444" s="295"/>
      <c r="E444" s="297"/>
      <c r="F444" s="298"/>
      <c r="G444" s="299"/>
      <c r="I444" s="288"/>
      <c r="J444" s="289"/>
      <c r="K444" s="290"/>
    </row>
    <row r="445">
      <c r="A445" s="295"/>
      <c r="B445" s="295"/>
      <c r="C445" s="296"/>
      <c r="D445" s="295"/>
      <c r="E445" s="297"/>
      <c r="F445" s="298"/>
      <c r="G445" s="299"/>
      <c r="I445" s="288"/>
      <c r="J445" s="289"/>
      <c r="K445" s="290"/>
    </row>
    <row r="446">
      <c r="A446" s="295"/>
      <c r="B446" s="295"/>
      <c r="C446" s="296"/>
      <c r="D446" s="295"/>
      <c r="E446" s="297"/>
      <c r="F446" s="298"/>
      <c r="G446" s="299"/>
      <c r="I446" s="288"/>
      <c r="J446" s="289"/>
      <c r="K446" s="290"/>
    </row>
    <row r="447">
      <c r="A447" s="295"/>
      <c r="B447" s="295"/>
      <c r="C447" s="296"/>
      <c r="D447" s="295"/>
      <c r="E447" s="297"/>
      <c r="F447" s="298"/>
      <c r="G447" s="299"/>
      <c r="I447" s="288"/>
      <c r="J447" s="289"/>
      <c r="K447" s="290"/>
    </row>
    <row r="448">
      <c r="A448" s="295"/>
      <c r="B448" s="295"/>
      <c r="C448" s="296"/>
      <c r="D448" s="295"/>
      <c r="E448" s="297"/>
      <c r="F448" s="298"/>
      <c r="G448" s="299"/>
      <c r="I448" s="288"/>
      <c r="J448" s="289"/>
      <c r="K448" s="290"/>
    </row>
    <row r="449">
      <c r="A449" s="295"/>
      <c r="B449" s="295"/>
      <c r="C449" s="296"/>
      <c r="D449" s="295"/>
      <c r="E449" s="297"/>
      <c r="F449" s="298"/>
      <c r="G449" s="299"/>
      <c r="I449" s="288"/>
      <c r="J449" s="289"/>
      <c r="K449" s="290"/>
    </row>
    <row r="450">
      <c r="A450" s="295"/>
      <c r="B450" s="295"/>
      <c r="C450" s="296"/>
      <c r="D450" s="295"/>
      <c r="E450" s="297"/>
      <c r="F450" s="298"/>
      <c r="G450" s="299"/>
      <c r="I450" s="288"/>
      <c r="J450" s="289"/>
      <c r="K450" s="290"/>
    </row>
    <row r="451">
      <c r="A451" s="295"/>
      <c r="B451" s="295"/>
      <c r="C451" s="296"/>
      <c r="D451" s="295"/>
      <c r="E451" s="297"/>
      <c r="F451" s="298"/>
      <c r="G451" s="299"/>
      <c r="I451" s="288"/>
      <c r="J451" s="289"/>
      <c r="K451" s="290"/>
    </row>
    <row r="452">
      <c r="A452" s="295"/>
      <c r="B452" s="295"/>
      <c r="C452" s="296"/>
      <c r="D452" s="295"/>
      <c r="E452" s="297"/>
      <c r="F452" s="298"/>
      <c r="G452" s="299"/>
      <c r="I452" s="288"/>
      <c r="J452" s="289"/>
      <c r="K452" s="290"/>
    </row>
    <row r="453">
      <c r="A453" s="295"/>
      <c r="B453" s="295"/>
      <c r="C453" s="296"/>
      <c r="D453" s="295"/>
      <c r="E453" s="297"/>
      <c r="F453" s="298"/>
      <c r="G453" s="299"/>
      <c r="I453" s="288"/>
      <c r="J453" s="289"/>
      <c r="K453" s="290"/>
    </row>
    <row r="454">
      <c r="A454" s="295"/>
      <c r="B454" s="295"/>
      <c r="C454" s="296"/>
      <c r="D454" s="295"/>
      <c r="E454" s="297"/>
      <c r="F454" s="298"/>
      <c r="G454" s="299"/>
      <c r="I454" s="288"/>
      <c r="J454" s="289"/>
      <c r="K454" s="290"/>
    </row>
    <row r="455">
      <c r="A455" s="295"/>
      <c r="B455" s="295"/>
      <c r="C455" s="296"/>
      <c r="D455" s="295"/>
      <c r="E455" s="297"/>
      <c r="F455" s="298"/>
      <c r="G455" s="299"/>
      <c r="I455" s="288"/>
      <c r="J455" s="289"/>
      <c r="K455" s="290"/>
    </row>
    <row r="456">
      <c r="A456" s="295"/>
      <c r="B456" s="295"/>
      <c r="C456" s="296"/>
      <c r="D456" s="295"/>
      <c r="E456" s="297"/>
      <c r="F456" s="298"/>
      <c r="G456" s="299"/>
      <c r="I456" s="288"/>
      <c r="J456" s="289"/>
      <c r="K456" s="290"/>
    </row>
    <row r="457">
      <c r="A457" s="295"/>
      <c r="B457" s="295"/>
      <c r="C457" s="296"/>
      <c r="D457" s="295"/>
      <c r="E457" s="297"/>
      <c r="F457" s="298"/>
      <c r="G457" s="299"/>
      <c r="I457" s="288"/>
      <c r="J457" s="289"/>
      <c r="K457" s="290"/>
    </row>
    <row r="458">
      <c r="A458" s="295"/>
      <c r="B458" s="295"/>
      <c r="C458" s="296"/>
      <c r="D458" s="295"/>
      <c r="E458" s="297"/>
      <c r="F458" s="298"/>
      <c r="G458" s="299"/>
      <c r="I458" s="288"/>
      <c r="J458" s="289"/>
      <c r="K458" s="290"/>
    </row>
    <row r="459">
      <c r="A459" s="295"/>
      <c r="B459" s="295"/>
      <c r="C459" s="296"/>
      <c r="D459" s="295"/>
      <c r="E459" s="297"/>
      <c r="F459" s="298"/>
      <c r="G459" s="299"/>
      <c r="I459" s="288"/>
      <c r="J459" s="289"/>
      <c r="K459" s="290"/>
    </row>
    <row r="460">
      <c r="A460" s="295"/>
      <c r="B460" s="295"/>
      <c r="C460" s="296"/>
      <c r="D460" s="295"/>
      <c r="E460" s="297"/>
      <c r="F460" s="298"/>
      <c r="G460" s="299"/>
      <c r="I460" s="288"/>
      <c r="J460" s="289"/>
      <c r="K460" s="290"/>
    </row>
    <row r="461">
      <c r="A461" s="295"/>
      <c r="B461" s="295"/>
      <c r="C461" s="296"/>
      <c r="D461" s="295"/>
      <c r="E461" s="297"/>
      <c r="F461" s="298"/>
      <c r="G461" s="299"/>
      <c r="I461" s="288"/>
      <c r="J461" s="289"/>
      <c r="K461" s="290"/>
    </row>
    <row r="462">
      <c r="A462" s="295"/>
      <c r="B462" s="295"/>
      <c r="C462" s="296"/>
      <c r="D462" s="295"/>
      <c r="E462" s="297"/>
      <c r="F462" s="298"/>
      <c r="G462" s="299"/>
      <c r="I462" s="288"/>
      <c r="J462" s="289"/>
      <c r="K462" s="290"/>
    </row>
    <row r="463">
      <c r="A463" s="295"/>
      <c r="B463" s="295"/>
      <c r="C463" s="296"/>
      <c r="D463" s="295"/>
      <c r="E463" s="297"/>
      <c r="F463" s="298"/>
      <c r="G463" s="299"/>
      <c r="I463" s="288"/>
      <c r="J463" s="289"/>
      <c r="K463" s="290"/>
    </row>
    <row r="464">
      <c r="A464" s="295"/>
      <c r="B464" s="295"/>
      <c r="C464" s="296"/>
      <c r="D464" s="295"/>
      <c r="E464" s="297"/>
      <c r="F464" s="298"/>
      <c r="G464" s="299"/>
      <c r="I464" s="288"/>
      <c r="J464" s="289"/>
      <c r="K464" s="290"/>
    </row>
    <row r="465">
      <c r="A465" s="295"/>
      <c r="B465" s="295"/>
      <c r="C465" s="296"/>
      <c r="D465" s="295"/>
      <c r="E465" s="297"/>
      <c r="F465" s="298"/>
      <c r="G465" s="299"/>
      <c r="I465" s="288"/>
      <c r="J465" s="289"/>
      <c r="K465" s="290"/>
    </row>
    <row r="466">
      <c r="A466" s="295"/>
      <c r="B466" s="295"/>
      <c r="C466" s="296"/>
      <c r="D466" s="295"/>
      <c r="E466" s="297"/>
      <c r="F466" s="298"/>
      <c r="G466" s="299"/>
      <c r="I466" s="288"/>
      <c r="J466" s="289"/>
      <c r="K466" s="290"/>
    </row>
    <row r="467">
      <c r="A467" s="295"/>
      <c r="B467" s="295"/>
      <c r="C467" s="296"/>
      <c r="D467" s="295"/>
      <c r="E467" s="297"/>
      <c r="F467" s="298"/>
      <c r="G467" s="299"/>
      <c r="I467" s="288"/>
      <c r="J467" s="289"/>
      <c r="K467" s="290"/>
    </row>
    <row r="468">
      <c r="A468" s="295"/>
      <c r="B468" s="295"/>
      <c r="C468" s="296"/>
      <c r="D468" s="295"/>
      <c r="E468" s="297"/>
      <c r="F468" s="298"/>
      <c r="G468" s="299"/>
      <c r="I468" s="288"/>
      <c r="J468" s="289"/>
      <c r="K468" s="290"/>
    </row>
    <row r="469">
      <c r="A469" s="295"/>
      <c r="B469" s="295"/>
      <c r="C469" s="296"/>
      <c r="D469" s="295"/>
      <c r="E469" s="297"/>
      <c r="F469" s="298"/>
      <c r="G469" s="299"/>
      <c r="I469" s="288"/>
      <c r="J469" s="289"/>
      <c r="K469" s="290"/>
    </row>
    <row r="470">
      <c r="A470" s="295"/>
      <c r="B470" s="295"/>
      <c r="C470" s="296"/>
      <c r="D470" s="295"/>
      <c r="E470" s="297"/>
      <c r="F470" s="298"/>
      <c r="G470" s="299"/>
      <c r="I470" s="288"/>
      <c r="J470" s="289"/>
      <c r="K470" s="290"/>
    </row>
    <row r="471">
      <c r="A471" s="295"/>
      <c r="B471" s="295"/>
      <c r="C471" s="296"/>
      <c r="D471" s="295"/>
      <c r="E471" s="297"/>
      <c r="F471" s="298"/>
      <c r="G471" s="299"/>
      <c r="I471" s="288"/>
      <c r="J471" s="289"/>
      <c r="K471" s="290"/>
    </row>
    <row r="472">
      <c r="A472" s="295"/>
      <c r="B472" s="295"/>
      <c r="C472" s="296"/>
      <c r="D472" s="295"/>
      <c r="E472" s="297"/>
      <c r="F472" s="298"/>
      <c r="G472" s="299"/>
      <c r="I472" s="288"/>
      <c r="J472" s="289"/>
      <c r="K472" s="290"/>
    </row>
    <row r="473">
      <c r="A473" s="295"/>
      <c r="B473" s="295"/>
      <c r="C473" s="296"/>
      <c r="D473" s="295"/>
      <c r="E473" s="297"/>
      <c r="F473" s="298"/>
      <c r="G473" s="299"/>
      <c r="I473" s="288"/>
      <c r="J473" s="289"/>
      <c r="K473" s="290"/>
    </row>
    <row r="474">
      <c r="A474" s="295"/>
      <c r="B474" s="295"/>
      <c r="C474" s="296"/>
      <c r="D474" s="295"/>
      <c r="E474" s="297"/>
      <c r="F474" s="298"/>
      <c r="G474" s="299"/>
      <c r="I474" s="288"/>
      <c r="J474" s="289"/>
      <c r="K474" s="290"/>
    </row>
    <row r="475">
      <c r="A475" s="295"/>
      <c r="B475" s="295"/>
      <c r="C475" s="296"/>
      <c r="D475" s="295"/>
      <c r="E475" s="297"/>
      <c r="F475" s="298"/>
      <c r="G475" s="299"/>
      <c r="I475" s="288"/>
      <c r="J475" s="289"/>
      <c r="K475" s="290"/>
    </row>
    <row r="476">
      <c r="A476" s="295"/>
      <c r="B476" s="295"/>
      <c r="C476" s="296"/>
      <c r="D476" s="295"/>
      <c r="E476" s="297"/>
      <c r="F476" s="298"/>
      <c r="G476" s="299"/>
      <c r="I476" s="288"/>
      <c r="J476" s="289"/>
      <c r="K476" s="290"/>
    </row>
    <row r="477">
      <c r="A477" s="295"/>
      <c r="B477" s="295"/>
      <c r="C477" s="296"/>
      <c r="D477" s="295"/>
      <c r="E477" s="297"/>
      <c r="F477" s="298"/>
      <c r="G477" s="299"/>
      <c r="I477" s="288"/>
      <c r="J477" s="289"/>
      <c r="K477" s="290"/>
    </row>
    <row r="478">
      <c r="A478" s="295"/>
      <c r="B478" s="295"/>
      <c r="C478" s="296"/>
      <c r="D478" s="295"/>
      <c r="E478" s="297"/>
      <c r="F478" s="298"/>
      <c r="G478" s="299"/>
      <c r="I478" s="288"/>
      <c r="J478" s="289"/>
      <c r="K478" s="290"/>
    </row>
    <row r="479">
      <c r="A479" s="295"/>
      <c r="B479" s="295"/>
      <c r="C479" s="296"/>
      <c r="D479" s="295"/>
      <c r="E479" s="297"/>
      <c r="F479" s="298"/>
      <c r="G479" s="299"/>
      <c r="I479" s="288"/>
      <c r="J479" s="289"/>
      <c r="K479" s="290"/>
    </row>
    <row r="480">
      <c r="A480" s="295"/>
      <c r="B480" s="295"/>
      <c r="C480" s="296"/>
      <c r="D480" s="295"/>
      <c r="E480" s="297"/>
      <c r="F480" s="298"/>
      <c r="G480" s="299"/>
      <c r="I480" s="288"/>
      <c r="J480" s="289"/>
      <c r="K480" s="290"/>
    </row>
    <row r="481">
      <c r="A481" s="295"/>
      <c r="B481" s="295"/>
      <c r="C481" s="296"/>
      <c r="D481" s="295"/>
      <c r="E481" s="297"/>
      <c r="F481" s="298"/>
      <c r="G481" s="299"/>
      <c r="I481" s="288"/>
      <c r="J481" s="289"/>
      <c r="K481" s="290"/>
    </row>
    <row r="482">
      <c r="A482" s="295"/>
      <c r="B482" s="295"/>
      <c r="C482" s="296"/>
      <c r="D482" s="295"/>
      <c r="E482" s="297"/>
      <c r="F482" s="298"/>
      <c r="G482" s="299"/>
      <c r="I482" s="288"/>
      <c r="J482" s="289"/>
      <c r="K482" s="290"/>
    </row>
    <row r="483">
      <c r="A483" s="295"/>
      <c r="B483" s="295"/>
      <c r="C483" s="296"/>
      <c r="D483" s="295"/>
      <c r="E483" s="297"/>
      <c r="F483" s="298"/>
      <c r="G483" s="299"/>
      <c r="I483" s="288"/>
      <c r="J483" s="289"/>
      <c r="K483" s="290"/>
    </row>
    <row r="484">
      <c r="A484" s="295"/>
      <c r="B484" s="295"/>
      <c r="C484" s="296"/>
      <c r="D484" s="295"/>
      <c r="E484" s="297"/>
      <c r="F484" s="298"/>
      <c r="G484" s="299"/>
      <c r="I484" s="288"/>
      <c r="J484" s="289"/>
      <c r="K484" s="290"/>
    </row>
    <row r="485">
      <c r="A485" s="295"/>
      <c r="B485" s="295"/>
      <c r="C485" s="296"/>
      <c r="D485" s="295"/>
      <c r="E485" s="297"/>
      <c r="F485" s="298"/>
      <c r="G485" s="299"/>
      <c r="I485" s="288"/>
      <c r="J485" s="289"/>
      <c r="K485" s="290"/>
    </row>
    <row r="486">
      <c r="A486" s="295"/>
      <c r="B486" s="295"/>
      <c r="C486" s="296"/>
      <c r="D486" s="295"/>
      <c r="E486" s="297"/>
      <c r="F486" s="298"/>
      <c r="G486" s="299"/>
      <c r="I486" s="288"/>
      <c r="J486" s="289"/>
      <c r="K486" s="290"/>
    </row>
    <row r="487">
      <c r="A487" s="295"/>
      <c r="B487" s="295"/>
      <c r="C487" s="296"/>
      <c r="D487" s="295"/>
      <c r="E487" s="297"/>
      <c r="F487" s="298"/>
      <c r="G487" s="299"/>
      <c r="I487" s="288"/>
      <c r="J487" s="289"/>
      <c r="K487" s="290"/>
    </row>
    <row r="488">
      <c r="A488" s="295"/>
      <c r="B488" s="295"/>
      <c r="C488" s="296"/>
      <c r="D488" s="295"/>
      <c r="E488" s="297"/>
      <c r="F488" s="298"/>
      <c r="G488" s="299"/>
      <c r="I488" s="288"/>
      <c r="J488" s="289"/>
      <c r="K488" s="290"/>
    </row>
    <row r="489">
      <c r="A489" s="295"/>
      <c r="B489" s="295"/>
      <c r="C489" s="296"/>
      <c r="D489" s="295"/>
      <c r="E489" s="297"/>
      <c r="F489" s="298"/>
      <c r="G489" s="299"/>
      <c r="I489" s="288"/>
      <c r="J489" s="289"/>
      <c r="K489" s="290"/>
    </row>
    <row r="490">
      <c r="A490" s="295"/>
      <c r="B490" s="295"/>
      <c r="C490" s="296"/>
      <c r="D490" s="295"/>
      <c r="E490" s="297"/>
      <c r="F490" s="298"/>
      <c r="G490" s="299"/>
      <c r="I490" s="288"/>
      <c r="J490" s="289"/>
      <c r="K490" s="290"/>
    </row>
    <row r="491">
      <c r="A491" s="295"/>
      <c r="B491" s="295"/>
      <c r="C491" s="296"/>
      <c r="D491" s="295"/>
      <c r="E491" s="297"/>
      <c r="F491" s="298"/>
      <c r="G491" s="299"/>
      <c r="I491" s="288"/>
      <c r="J491" s="289"/>
      <c r="K491" s="290"/>
    </row>
    <row r="492">
      <c r="A492" s="295"/>
      <c r="B492" s="295"/>
      <c r="C492" s="296"/>
      <c r="D492" s="295"/>
      <c r="E492" s="297"/>
      <c r="F492" s="298"/>
      <c r="G492" s="299"/>
      <c r="I492" s="288"/>
      <c r="J492" s="289"/>
      <c r="K492" s="290"/>
    </row>
    <row r="493">
      <c r="A493" s="295"/>
      <c r="B493" s="295"/>
      <c r="C493" s="296"/>
      <c r="D493" s="295"/>
      <c r="E493" s="297"/>
      <c r="F493" s="298"/>
      <c r="G493" s="299"/>
      <c r="I493" s="288"/>
      <c r="J493" s="289"/>
      <c r="K493" s="290"/>
    </row>
    <row r="494">
      <c r="A494" s="295"/>
      <c r="B494" s="295"/>
      <c r="C494" s="296"/>
      <c r="D494" s="295"/>
      <c r="E494" s="297"/>
      <c r="F494" s="298"/>
      <c r="G494" s="299"/>
      <c r="I494" s="288"/>
      <c r="J494" s="289"/>
      <c r="K494" s="290"/>
    </row>
    <row r="495">
      <c r="A495" s="295"/>
      <c r="B495" s="295"/>
      <c r="C495" s="296"/>
      <c r="D495" s="295"/>
      <c r="E495" s="297"/>
      <c r="F495" s="298"/>
      <c r="G495" s="299"/>
      <c r="I495" s="288"/>
      <c r="J495" s="289"/>
      <c r="K495" s="290"/>
    </row>
    <row r="496">
      <c r="A496" s="295"/>
      <c r="B496" s="295"/>
      <c r="C496" s="296"/>
      <c r="D496" s="295"/>
      <c r="E496" s="297"/>
      <c r="F496" s="298"/>
      <c r="G496" s="299"/>
      <c r="I496" s="288"/>
      <c r="J496" s="289"/>
      <c r="K496" s="290"/>
    </row>
    <row r="497">
      <c r="A497" s="295"/>
      <c r="B497" s="295"/>
      <c r="C497" s="296"/>
      <c r="D497" s="295"/>
      <c r="E497" s="297"/>
      <c r="F497" s="298"/>
      <c r="G497" s="299"/>
      <c r="I497" s="288"/>
      <c r="J497" s="289"/>
      <c r="K497" s="290"/>
    </row>
    <row r="498">
      <c r="A498" s="295"/>
      <c r="B498" s="295"/>
      <c r="C498" s="296"/>
      <c r="D498" s="295"/>
      <c r="E498" s="297"/>
      <c r="F498" s="298"/>
      <c r="G498" s="299"/>
      <c r="I498" s="288"/>
      <c r="J498" s="289"/>
      <c r="K498" s="290"/>
    </row>
    <row r="499">
      <c r="A499" s="295"/>
      <c r="B499" s="295"/>
      <c r="C499" s="296"/>
      <c r="D499" s="295"/>
      <c r="E499" s="297"/>
      <c r="F499" s="298"/>
      <c r="G499" s="299"/>
      <c r="I499" s="288"/>
      <c r="J499" s="289"/>
      <c r="K499" s="290"/>
    </row>
    <row r="500">
      <c r="A500" s="295"/>
      <c r="B500" s="295"/>
      <c r="C500" s="296"/>
      <c r="D500" s="295"/>
      <c r="E500" s="297"/>
      <c r="F500" s="298"/>
      <c r="G500" s="299"/>
      <c r="I500" s="288"/>
      <c r="J500" s="289"/>
      <c r="K500" s="290"/>
    </row>
    <row r="501">
      <c r="A501" s="295"/>
      <c r="B501" s="295"/>
      <c r="C501" s="296"/>
      <c r="D501" s="295"/>
      <c r="E501" s="297"/>
      <c r="F501" s="298"/>
      <c r="G501" s="299"/>
      <c r="I501" s="288"/>
      <c r="J501" s="289"/>
      <c r="K501" s="290"/>
    </row>
    <row r="502">
      <c r="A502" s="295"/>
      <c r="B502" s="295"/>
      <c r="C502" s="296"/>
      <c r="D502" s="295"/>
      <c r="E502" s="297"/>
      <c r="F502" s="298"/>
      <c r="G502" s="299"/>
      <c r="I502" s="288"/>
      <c r="J502" s="289"/>
      <c r="K502" s="290"/>
    </row>
    <row r="503">
      <c r="A503" s="295"/>
      <c r="B503" s="295"/>
      <c r="C503" s="296"/>
      <c r="D503" s="295"/>
      <c r="E503" s="297"/>
      <c r="F503" s="298"/>
      <c r="G503" s="299"/>
      <c r="I503" s="288"/>
      <c r="J503" s="289"/>
      <c r="K503" s="290"/>
    </row>
    <row r="504">
      <c r="A504" s="295"/>
      <c r="B504" s="295"/>
      <c r="C504" s="296"/>
      <c r="D504" s="295"/>
      <c r="E504" s="297"/>
      <c r="F504" s="298"/>
      <c r="G504" s="299"/>
      <c r="I504" s="288"/>
      <c r="J504" s="289"/>
      <c r="K504" s="290"/>
    </row>
    <row r="505">
      <c r="A505" s="295"/>
      <c r="B505" s="295"/>
      <c r="C505" s="296"/>
      <c r="D505" s="295"/>
      <c r="E505" s="297"/>
      <c r="F505" s="298"/>
      <c r="G505" s="299"/>
      <c r="I505" s="288"/>
      <c r="J505" s="289"/>
      <c r="K505" s="290"/>
    </row>
    <row r="506">
      <c r="A506" s="295"/>
      <c r="B506" s="295"/>
      <c r="C506" s="296"/>
      <c r="D506" s="295"/>
      <c r="E506" s="297"/>
      <c r="F506" s="298"/>
      <c r="G506" s="299"/>
      <c r="I506" s="288"/>
      <c r="J506" s="289"/>
      <c r="K506" s="290"/>
    </row>
    <row r="507">
      <c r="A507" s="295"/>
      <c r="B507" s="295"/>
      <c r="C507" s="296"/>
      <c r="D507" s="295"/>
      <c r="E507" s="297"/>
      <c r="F507" s="298"/>
      <c r="G507" s="299"/>
      <c r="I507" s="288"/>
      <c r="J507" s="289"/>
      <c r="K507" s="290"/>
    </row>
    <row r="508">
      <c r="A508" s="295"/>
      <c r="B508" s="295"/>
      <c r="C508" s="296"/>
      <c r="D508" s="295"/>
      <c r="E508" s="297"/>
      <c r="F508" s="298"/>
      <c r="G508" s="299"/>
      <c r="I508" s="288"/>
      <c r="J508" s="289"/>
      <c r="K508" s="290"/>
    </row>
    <row r="509">
      <c r="A509" s="295"/>
      <c r="B509" s="295"/>
      <c r="C509" s="296"/>
      <c r="D509" s="295"/>
      <c r="E509" s="297"/>
      <c r="F509" s="298"/>
      <c r="G509" s="299"/>
      <c r="I509" s="288"/>
      <c r="J509" s="289"/>
      <c r="K509" s="290"/>
    </row>
    <row r="510">
      <c r="A510" s="295"/>
      <c r="B510" s="295"/>
      <c r="C510" s="296"/>
      <c r="D510" s="295"/>
      <c r="E510" s="297"/>
      <c r="F510" s="298"/>
      <c r="G510" s="299"/>
      <c r="I510" s="288"/>
      <c r="J510" s="289"/>
      <c r="K510" s="290"/>
    </row>
    <row r="511">
      <c r="A511" s="295"/>
      <c r="B511" s="295"/>
      <c r="C511" s="296"/>
      <c r="D511" s="295"/>
      <c r="E511" s="297"/>
      <c r="F511" s="298"/>
      <c r="G511" s="299"/>
      <c r="I511" s="288"/>
      <c r="J511" s="289"/>
      <c r="K511" s="290"/>
    </row>
    <row r="512">
      <c r="A512" s="295"/>
      <c r="B512" s="295"/>
      <c r="C512" s="296"/>
      <c r="D512" s="295"/>
      <c r="E512" s="297"/>
      <c r="F512" s="298"/>
      <c r="G512" s="299"/>
      <c r="I512" s="288"/>
      <c r="J512" s="289"/>
      <c r="K512" s="290"/>
    </row>
    <row r="513">
      <c r="A513" s="295"/>
      <c r="B513" s="295"/>
      <c r="C513" s="296"/>
      <c r="D513" s="295"/>
      <c r="E513" s="297"/>
      <c r="F513" s="298"/>
      <c r="G513" s="299"/>
      <c r="I513" s="288"/>
      <c r="J513" s="289"/>
      <c r="K513" s="290"/>
    </row>
    <row r="514">
      <c r="A514" s="295"/>
      <c r="B514" s="295"/>
      <c r="C514" s="296"/>
      <c r="D514" s="295"/>
      <c r="E514" s="297"/>
      <c r="F514" s="298"/>
      <c r="G514" s="299"/>
      <c r="I514" s="288"/>
      <c r="J514" s="289"/>
      <c r="K514" s="290"/>
    </row>
    <row r="515">
      <c r="A515" s="295"/>
      <c r="B515" s="295"/>
      <c r="C515" s="296"/>
      <c r="D515" s="295"/>
      <c r="E515" s="297"/>
      <c r="F515" s="298"/>
      <c r="G515" s="299"/>
      <c r="I515" s="288"/>
      <c r="J515" s="289"/>
      <c r="K515" s="290"/>
    </row>
    <row r="516">
      <c r="A516" s="295"/>
      <c r="B516" s="295"/>
      <c r="C516" s="296"/>
      <c r="D516" s="295"/>
      <c r="E516" s="297"/>
      <c r="F516" s="298"/>
      <c r="G516" s="299"/>
      <c r="I516" s="288"/>
      <c r="J516" s="289"/>
      <c r="K516" s="290"/>
    </row>
    <row r="517">
      <c r="A517" s="295"/>
      <c r="B517" s="295"/>
      <c r="C517" s="296"/>
      <c r="D517" s="295"/>
      <c r="E517" s="297"/>
      <c r="F517" s="298"/>
      <c r="G517" s="299"/>
      <c r="I517" s="288"/>
      <c r="J517" s="289"/>
      <c r="K517" s="290"/>
    </row>
    <row r="518">
      <c r="A518" s="295"/>
      <c r="B518" s="295"/>
      <c r="C518" s="296"/>
      <c r="D518" s="295"/>
      <c r="E518" s="297"/>
      <c r="F518" s="298"/>
      <c r="G518" s="299"/>
      <c r="I518" s="288"/>
      <c r="J518" s="289"/>
      <c r="K518" s="290"/>
    </row>
    <row r="519">
      <c r="A519" s="295"/>
      <c r="B519" s="295"/>
      <c r="C519" s="296"/>
      <c r="D519" s="295"/>
      <c r="E519" s="297"/>
      <c r="F519" s="298"/>
      <c r="G519" s="299"/>
      <c r="I519" s="288"/>
      <c r="J519" s="289"/>
      <c r="K519" s="290"/>
    </row>
    <row r="520">
      <c r="A520" s="295"/>
      <c r="B520" s="295"/>
      <c r="C520" s="296"/>
      <c r="D520" s="295"/>
      <c r="E520" s="297"/>
      <c r="F520" s="298"/>
      <c r="G520" s="299"/>
      <c r="I520" s="288"/>
      <c r="J520" s="289"/>
      <c r="K520" s="290"/>
    </row>
    <row r="521">
      <c r="A521" s="295"/>
      <c r="B521" s="295"/>
      <c r="C521" s="296"/>
      <c r="D521" s="295"/>
      <c r="E521" s="297"/>
      <c r="F521" s="298"/>
      <c r="G521" s="299"/>
      <c r="I521" s="288"/>
      <c r="J521" s="289"/>
      <c r="K521" s="290"/>
    </row>
    <row r="522">
      <c r="A522" s="295"/>
      <c r="B522" s="295"/>
      <c r="C522" s="296"/>
      <c r="D522" s="295"/>
      <c r="E522" s="297"/>
      <c r="F522" s="298"/>
      <c r="G522" s="299"/>
      <c r="I522" s="288"/>
      <c r="J522" s="289"/>
      <c r="K522" s="290"/>
    </row>
    <row r="523">
      <c r="A523" s="295"/>
      <c r="B523" s="295"/>
      <c r="C523" s="296"/>
      <c r="D523" s="295"/>
      <c r="E523" s="297"/>
      <c r="F523" s="298"/>
      <c r="G523" s="299"/>
      <c r="I523" s="288"/>
      <c r="J523" s="289"/>
      <c r="K523" s="290"/>
    </row>
    <row r="524">
      <c r="A524" s="295"/>
      <c r="B524" s="295"/>
      <c r="C524" s="296"/>
      <c r="D524" s="295"/>
      <c r="E524" s="297"/>
      <c r="F524" s="298"/>
      <c r="G524" s="299"/>
      <c r="I524" s="288"/>
      <c r="J524" s="289"/>
      <c r="K524" s="290"/>
    </row>
    <row r="525">
      <c r="A525" s="295"/>
      <c r="B525" s="295"/>
      <c r="C525" s="296"/>
      <c r="D525" s="295"/>
      <c r="E525" s="297"/>
      <c r="F525" s="298"/>
      <c r="G525" s="299"/>
      <c r="I525" s="288"/>
      <c r="J525" s="289"/>
      <c r="K525" s="290"/>
    </row>
    <row r="526">
      <c r="A526" s="295"/>
      <c r="B526" s="295"/>
      <c r="C526" s="296"/>
      <c r="D526" s="295"/>
      <c r="E526" s="297"/>
      <c r="F526" s="298"/>
      <c r="G526" s="299"/>
      <c r="I526" s="288"/>
      <c r="J526" s="289"/>
      <c r="K526" s="290"/>
    </row>
    <row r="527">
      <c r="A527" s="295"/>
      <c r="B527" s="295"/>
      <c r="C527" s="296"/>
      <c r="D527" s="295"/>
      <c r="E527" s="297"/>
      <c r="F527" s="298"/>
      <c r="G527" s="299"/>
      <c r="I527" s="288"/>
      <c r="J527" s="289"/>
      <c r="K527" s="290"/>
    </row>
    <row r="528">
      <c r="A528" s="295"/>
      <c r="B528" s="295"/>
      <c r="C528" s="296"/>
      <c r="D528" s="295"/>
      <c r="E528" s="297"/>
      <c r="F528" s="298"/>
      <c r="G528" s="299"/>
      <c r="I528" s="288"/>
      <c r="J528" s="289"/>
      <c r="K528" s="290"/>
    </row>
    <row r="529">
      <c r="A529" s="295"/>
      <c r="B529" s="295"/>
      <c r="C529" s="296"/>
      <c r="D529" s="295"/>
      <c r="E529" s="297"/>
      <c r="F529" s="298"/>
      <c r="G529" s="299"/>
      <c r="I529" s="288"/>
      <c r="J529" s="289"/>
      <c r="K529" s="290"/>
    </row>
    <row r="530">
      <c r="A530" s="295"/>
      <c r="B530" s="295"/>
      <c r="C530" s="296"/>
      <c r="D530" s="295"/>
      <c r="E530" s="297"/>
      <c r="F530" s="298"/>
      <c r="G530" s="299"/>
      <c r="I530" s="288"/>
      <c r="J530" s="289"/>
      <c r="K530" s="290"/>
    </row>
    <row r="531">
      <c r="A531" s="295"/>
      <c r="B531" s="295"/>
      <c r="C531" s="296"/>
      <c r="D531" s="295"/>
      <c r="E531" s="297"/>
      <c r="F531" s="298"/>
      <c r="G531" s="299"/>
      <c r="I531" s="288"/>
      <c r="J531" s="289"/>
      <c r="K531" s="290"/>
    </row>
    <row r="532">
      <c r="A532" s="295"/>
      <c r="B532" s="295"/>
      <c r="C532" s="296"/>
      <c r="D532" s="295"/>
      <c r="E532" s="297"/>
      <c r="F532" s="298"/>
      <c r="G532" s="299"/>
      <c r="I532" s="288"/>
      <c r="J532" s="289"/>
      <c r="K532" s="290"/>
    </row>
    <row r="533">
      <c r="A533" s="295"/>
      <c r="B533" s="295"/>
      <c r="C533" s="296"/>
      <c r="D533" s="295"/>
      <c r="E533" s="297"/>
      <c r="F533" s="298"/>
      <c r="G533" s="299"/>
      <c r="I533" s="288"/>
      <c r="J533" s="289"/>
      <c r="K533" s="290"/>
    </row>
    <row r="534">
      <c r="A534" s="295"/>
      <c r="B534" s="295"/>
      <c r="C534" s="296"/>
      <c r="D534" s="295"/>
      <c r="E534" s="297"/>
      <c r="F534" s="298"/>
      <c r="G534" s="299"/>
      <c r="I534" s="288"/>
      <c r="J534" s="289"/>
      <c r="K534" s="290"/>
    </row>
    <row r="535">
      <c r="A535" s="295"/>
      <c r="B535" s="295"/>
      <c r="C535" s="296"/>
      <c r="D535" s="295"/>
      <c r="E535" s="297"/>
      <c r="F535" s="298"/>
      <c r="G535" s="299"/>
      <c r="I535" s="288"/>
      <c r="J535" s="289"/>
      <c r="K535" s="290"/>
    </row>
    <row r="536">
      <c r="A536" s="295"/>
      <c r="B536" s="295"/>
      <c r="C536" s="296"/>
      <c r="D536" s="295"/>
      <c r="E536" s="297"/>
      <c r="F536" s="298"/>
      <c r="G536" s="299"/>
      <c r="I536" s="288"/>
      <c r="J536" s="289"/>
      <c r="K536" s="290"/>
    </row>
    <row r="537">
      <c r="A537" s="295"/>
      <c r="B537" s="295"/>
      <c r="C537" s="296"/>
      <c r="D537" s="295"/>
      <c r="E537" s="297"/>
      <c r="F537" s="298"/>
      <c r="G537" s="299"/>
      <c r="I537" s="288"/>
      <c r="J537" s="289"/>
      <c r="K537" s="290"/>
    </row>
    <row r="538">
      <c r="A538" s="295"/>
      <c r="B538" s="295"/>
      <c r="C538" s="296"/>
      <c r="D538" s="295"/>
      <c r="E538" s="297"/>
      <c r="F538" s="298"/>
      <c r="G538" s="299"/>
      <c r="I538" s="288"/>
      <c r="J538" s="289"/>
      <c r="K538" s="290"/>
    </row>
    <row r="539">
      <c r="A539" s="295"/>
      <c r="B539" s="295"/>
      <c r="C539" s="296"/>
      <c r="D539" s="295"/>
      <c r="E539" s="297"/>
      <c r="F539" s="298"/>
      <c r="G539" s="299"/>
      <c r="I539" s="288"/>
      <c r="J539" s="289"/>
      <c r="K539" s="290"/>
    </row>
    <row r="540">
      <c r="A540" s="295"/>
      <c r="B540" s="295"/>
      <c r="C540" s="296"/>
      <c r="D540" s="295"/>
      <c r="E540" s="297"/>
      <c r="F540" s="298"/>
      <c r="G540" s="299"/>
      <c r="I540" s="288"/>
      <c r="J540" s="289"/>
      <c r="K540" s="290"/>
    </row>
    <row r="541">
      <c r="A541" s="295"/>
      <c r="B541" s="295"/>
      <c r="C541" s="296"/>
      <c r="D541" s="295"/>
      <c r="E541" s="297"/>
      <c r="F541" s="298"/>
      <c r="G541" s="299"/>
      <c r="I541" s="288"/>
      <c r="J541" s="289"/>
      <c r="K541" s="290"/>
    </row>
    <row r="542">
      <c r="A542" s="295"/>
      <c r="B542" s="295"/>
      <c r="C542" s="296"/>
      <c r="D542" s="295"/>
      <c r="E542" s="297"/>
      <c r="F542" s="298"/>
      <c r="G542" s="299"/>
      <c r="I542" s="288"/>
      <c r="J542" s="289"/>
      <c r="K542" s="290"/>
    </row>
    <row r="543">
      <c r="A543" s="295"/>
      <c r="B543" s="295"/>
      <c r="C543" s="296"/>
      <c r="D543" s="295"/>
      <c r="E543" s="297"/>
      <c r="F543" s="298"/>
      <c r="G543" s="299"/>
      <c r="I543" s="288"/>
      <c r="J543" s="289"/>
      <c r="K543" s="290"/>
    </row>
    <row r="544">
      <c r="A544" s="295"/>
      <c r="B544" s="295"/>
      <c r="C544" s="296"/>
      <c r="D544" s="295"/>
      <c r="E544" s="297"/>
      <c r="F544" s="298"/>
      <c r="G544" s="299"/>
      <c r="I544" s="288"/>
      <c r="J544" s="289"/>
      <c r="K544" s="290"/>
    </row>
    <row r="545">
      <c r="A545" s="295"/>
      <c r="B545" s="295"/>
      <c r="C545" s="296"/>
      <c r="D545" s="295"/>
      <c r="E545" s="297"/>
      <c r="F545" s="298"/>
      <c r="G545" s="299"/>
      <c r="I545" s="288"/>
      <c r="J545" s="289"/>
      <c r="K545" s="290"/>
    </row>
    <row r="546">
      <c r="A546" s="295"/>
      <c r="B546" s="295"/>
      <c r="C546" s="296"/>
      <c r="D546" s="295"/>
      <c r="E546" s="297"/>
      <c r="F546" s="298"/>
      <c r="G546" s="299"/>
      <c r="I546" s="288"/>
      <c r="J546" s="289"/>
      <c r="K546" s="290"/>
    </row>
    <row r="547">
      <c r="A547" s="295"/>
      <c r="B547" s="295"/>
      <c r="C547" s="296"/>
      <c r="D547" s="295"/>
      <c r="E547" s="297"/>
      <c r="F547" s="298"/>
      <c r="G547" s="299"/>
      <c r="I547" s="288"/>
      <c r="J547" s="289"/>
      <c r="K547" s="290"/>
    </row>
    <row r="548">
      <c r="A548" s="295"/>
      <c r="B548" s="295"/>
      <c r="C548" s="296"/>
      <c r="D548" s="295"/>
      <c r="E548" s="297"/>
      <c r="F548" s="298"/>
      <c r="G548" s="299"/>
      <c r="I548" s="288"/>
      <c r="J548" s="289"/>
      <c r="K548" s="290"/>
    </row>
    <row r="549">
      <c r="A549" s="295"/>
      <c r="B549" s="295"/>
      <c r="C549" s="296"/>
      <c r="D549" s="295"/>
      <c r="E549" s="297"/>
      <c r="F549" s="298"/>
      <c r="G549" s="299"/>
      <c r="I549" s="288"/>
      <c r="J549" s="289"/>
      <c r="K549" s="290"/>
    </row>
    <row r="550">
      <c r="A550" s="295"/>
      <c r="B550" s="295"/>
      <c r="C550" s="296"/>
      <c r="D550" s="295"/>
      <c r="E550" s="297"/>
      <c r="F550" s="298"/>
      <c r="G550" s="299"/>
      <c r="I550" s="288"/>
      <c r="J550" s="289"/>
      <c r="K550" s="290"/>
    </row>
    <row r="551">
      <c r="A551" s="295"/>
      <c r="B551" s="295"/>
      <c r="C551" s="296"/>
      <c r="D551" s="295"/>
      <c r="E551" s="297"/>
      <c r="F551" s="298"/>
      <c r="G551" s="299"/>
      <c r="I551" s="288"/>
      <c r="J551" s="289"/>
      <c r="K551" s="290"/>
    </row>
    <row r="552">
      <c r="A552" s="295"/>
      <c r="B552" s="295"/>
      <c r="C552" s="296"/>
      <c r="D552" s="295"/>
      <c r="E552" s="297"/>
      <c r="F552" s="298"/>
      <c r="G552" s="299"/>
      <c r="I552" s="288"/>
      <c r="J552" s="289"/>
      <c r="K552" s="290"/>
    </row>
    <row r="553">
      <c r="A553" s="295"/>
      <c r="B553" s="295"/>
      <c r="C553" s="296"/>
      <c r="D553" s="295"/>
      <c r="E553" s="297"/>
      <c r="F553" s="298"/>
      <c r="G553" s="299"/>
      <c r="I553" s="288"/>
      <c r="J553" s="289"/>
      <c r="K553" s="290"/>
    </row>
    <row r="554">
      <c r="A554" s="295"/>
      <c r="B554" s="295"/>
      <c r="C554" s="296"/>
      <c r="D554" s="295"/>
      <c r="E554" s="297"/>
      <c r="F554" s="298"/>
      <c r="G554" s="299"/>
      <c r="I554" s="288"/>
      <c r="J554" s="289"/>
      <c r="K554" s="290"/>
    </row>
    <row r="555">
      <c r="A555" s="295"/>
      <c r="B555" s="295"/>
      <c r="C555" s="296"/>
      <c r="D555" s="295"/>
      <c r="E555" s="297"/>
      <c r="F555" s="298"/>
      <c r="G555" s="299"/>
      <c r="I555" s="288"/>
      <c r="J555" s="289"/>
      <c r="K555" s="290"/>
    </row>
    <row r="556">
      <c r="A556" s="295"/>
      <c r="B556" s="295"/>
      <c r="C556" s="296"/>
      <c r="D556" s="295"/>
      <c r="E556" s="297"/>
      <c r="F556" s="298"/>
      <c r="G556" s="299"/>
      <c r="I556" s="288"/>
      <c r="J556" s="289"/>
      <c r="K556" s="290"/>
    </row>
    <row r="557">
      <c r="A557" s="295"/>
      <c r="B557" s="295"/>
      <c r="C557" s="296"/>
      <c r="D557" s="295"/>
      <c r="E557" s="297"/>
      <c r="F557" s="298"/>
      <c r="G557" s="299"/>
      <c r="I557" s="288"/>
      <c r="J557" s="289"/>
      <c r="K557" s="290"/>
    </row>
    <row r="558">
      <c r="A558" s="295"/>
      <c r="B558" s="295"/>
      <c r="C558" s="296"/>
      <c r="D558" s="295"/>
      <c r="E558" s="297"/>
      <c r="F558" s="298"/>
      <c r="G558" s="299"/>
      <c r="I558" s="288"/>
      <c r="J558" s="289"/>
      <c r="K558" s="290"/>
    </row>
    <row r="559">
      <c r="A559" s="295"/>
      <c r="B559" s="295"/>
      <c r="C559" s="296"/>
      <c r="D559" s="295"/>
      <c r="E559" s="297"/>
      <c r="F559" s="298"/>
      <c r="G559" s="299"/>
      <c r="I559" s="288"/>
      <c r="J559" s="289"/>
      <c r="K559" s="290"/>
    </row>
    <row r="560">
      <c r="A560" s="295"/>
      <c r="B560" s="295"/>
      <c r="C560" s="296"/>
      <c r="D560" s="295"/>
      <c r="E560" s="297"/>
      <c r="F560" s="298"/>
      <c r="G560" s="299"/>
      <c r="I560" s="288"/>
      <c r="J560" s="289"/>
      <c r="K560" s="290"/>
    </row>
    <row r="561">
      <c r="A561" s="295"/>
      <c r="B561" s="295"/>
      <c r="C561" s="296"/>
      <c r="D561" s="295"/>
      <c r="E561" s="297"/>
      <c r="F561" s="298"/>
      <c r="G561" s="299"/>
      <c r="I561" s="288"/>
      <c r="J561" s="289"/>
      <c r="K561" s="290"/>
    </row>
    <row r="562">
      <c r="A562" s="295"/>
      <c r="B562" s="295"/>
      <c r="C562" s="296"/>
      <c r="D562" s="295"/>
      <c r="E562" s="297"/>
      <c r="F562" s="298"/>
      <c r="G562" s="299"/>
      <c r="I562" s="288"/>
      <c r="J562" s="289"/>
      <c r="K562" s="290"/>
    </row>
    <row r="563">
      <c r="A563" s="295"/>
      <c r="B563" s="295"/>
      <c r="C563" s="296"/>
      <c r="D563" s="295"/>
      <c r="E563" s="297"/>
      <c r="F563" s="298"/>
      <c r="G563" s="299"/>
      <c r="I563" s="288"/>
      <c r="J563" s="289"/>
      <c r="K563" s="290"/>
    </row>
    <row r="564">
      <c r="A564" s="295"/>
      <c r="B564" s="295"/>
      <c r="C564" s="296"/>
      <c r="D564" s="295"/>
      <c r="E564" s="297"/>
      <c r="F564" s="298"/>
      <c r="G564" s="299"/>
      <c r="I564" s="288"/>
      <c r="J564" s="289"/>
      <c r="K564" s="290"/>
    </row>
    <row r="565">
      <c r="A565" s="295"/>
      <c r="B565" s="295"/>
      <c r="C565" s="296"/>
      <c r="D565" s="295"/>
      <c r="E565" s="297"/>
      <c r="F565" s="298"/>
      <c r="G565" s="299"/>
      <c r="I565" s="288"/>
      <c r="J565" s="289"/>
      <c r="K565" s="290"/>
    </row>
    <row r="566">
      <c r="A566" s="295"/>
      <c r="B566" s="295"/>
      <c r="C566" s="296"/>
      <c r="D566" s="295"/>
      <c r="E566" s="297"/>
      <c r="F566" s="298"/>
      <c r="G566" s="299"/>
      <c r="I566" s="288"/>
      <c r="J566" s="289"/>
      <c r="K566" s="290"/>
    </row>
    <row r="567">
      <c r="A567" s="295"/>
      <c r="B567" s="295"/>
      <c r="C567" s="296"/>
      <c r="D567" s="295"/>
      <c r="E567" s="297"/>
      <c r="F567" s="298"/>
      <c r="G567" s="299"/>
      <c r="I567" s="288"/>
      <c r="J567" s="289"/>
      <c r="K567" s="290"/>
    </row>
    <row r="568">
      <c r="A568" s="295"/>
      <c r="B568" s="295"/>
      <c r="C568" s="296"/>
      <c r="D568" s="295"/>
      <c r="E568" s="297"/>
      <c r="F568" s="298"/>
      <c r="G568" s="299"/>
      <c r="I568" s="288"/>
      <c r="J568" s="289"/>
      <c r="K568" s="290"/>
    </row>
    <row r="569">
      <c r="A569" s="295"/>
      <c r="B569" s="295"/>
      <c r="C569" s="296"/>
      <c r="D569" s="295"/>
      <c r="E569" s="297"/>
      <c r="F569" s="298"/>
      <c r="G569" s="299"/>
      <c r="I569" s="288"/>
      <c r="J569" s="289"/>
      <c r="K569" s="290"/>
    </row>
    <row r="570">
      <c r="A570" s="295"/>
      <c r="B570" s="295"/>
      <c r="C570" s="296"/>
      <c r="D570" s="295"/>
      <c r="E570" s="297"/>
      <c r="F570" s="298"/>
      <c r="G570" s="299"/>
      <c r="I570" s="288"/>
      <c r="J570" s="289"/>
      <c r="K570" s="290"/>
    </row>
    <row r="571">
      <c r="A571" s="295"/>
      <c r="B571" s="295"/>
      <c r="C571" s="296"/>
      <c r="D571" s="295"/>
      <c r="E571" s="297"/>
      <c r="F571" s="298"/>
      <c r="G571" s="299"/>
      <c r="I571" s="288"/>
      <c r="J571" s="289"/>
      <c r="K571" s="290"/>
    </row>
    <row r="572">
      <c r="A572" s="295"/>
      <c r="B572" s="295"/>
      <c r="C572" s="296"/>
      <c r="D572" s="295"/>
      <c r="E572" s="297"/>
      <c r="F572" s="298"/>
      <c r="G572" s="299"/>
      <c r="I572" s="288"/>
      <c r="J572" s="289"/>
      <c r="K572" s="290"/>
    </row>
    <row r="573">
      <c r="A573" s="295"/>
      <c r="B573" s="295"/>
      <c r="C573" s="296"/>
      <c r="D573" s="295"/>
      <c r="E573" s="297"/>
      <c r="F573" s="298"/>
      <c r="G573" s="299"/>
      <c r="I573" s="288"/>
      <c r="J573" s="289"/>
      <c r="K573" s="290"/>
    </row>
    <row r="574">
      <c r="A574" s="295"/>
      <c r="B574" s="295"/>
      <c r="C574" s="296"/>
      <c r="D574" s="295"/>
      <c r="E574" s="297"/>
      <c r="F574" s="298"/>
      <c r="G574" s="299"/>
      <c r="I574" s="288"/>
      <c r="J574" s="289"/>
      <c r="K574" s="290"/>
    </row>
    <row r="575">
      <c r="A575" s="295"/>
      <c r="B575" s="295"/>
      <c r="C575" s="296"/>
      <c r="D575" s="295"/>
      <c r="E575" s="297"/>
      <c r="F575" s="298"/>
      <c r="G575" s="299"/>
      <c r="I575" s="288"/>
      <c r="J575" s="289"/>
      <c r="K575" s="290"/>
    </row>
    <row r="576">
      <c r="A576" s="295"/>
      <c r="B576" s="295"/>
      <c r="C576" s="296"/>
      <c r="D576" s="295"/>
      <c r="E576" s="297"/>
      <c r="F576" s="298"/>
      <c r="G576" s="299"/>
      <c r="I576" s="288"/>
      <c r="J576" s="289"/>
      <c r="K576" s="290"/>
    </row>
    <row r="577">
      <c r="A577" s="295"/>
      <c r="B577" s="295"/>
      <c r="C577" s="296"/>
      <c r="D577" s="295"/>
      <c r="E577" s="297"/>
      <c r="F577" s="298"/>
      <c r="G577" s="299"/>
      <c r="I577" s="288"/>
      <c r="J577" s="289"/>
      <c r="K577" s="290"/>
    </row>
    <row r="578">
      <c r="A578" s="295"/>
      <c r="B578" s="295"/>
      <c r="C578" s="296"/>
      <c r="D578" s="295"/>
      <c r="E578" s="297"/>
      <c r="F578" s="298"/>
      <c r="G578" s="299"/>
      <c r="I578" s="288"/>
      <c r="J578" s="289"/>
      <c r="K578" s="290"/>
    </row>
    <row r="579">
      <c r="A579" s="295"/>
      <c r="B579" s="295"/>
      <c r="C579" s="296"/>
      <c r="D579" s="295"/>
      <c r="E579" s="297"/>
      <c r="F579" s="298"/>
      <c r="G579" s="299"/>
      <c r="I579" s="288"/>
      <c r="J579" s="289"/>
      <c r="K579" s="290"/>
    </row>
    <row r="580">
      <c r="A580" s="295"/>
      <c r="B580" s="295"/>
      <c r="C580" s="296"/>
      <c r="D580" s="295"/>
      <c r="E580" s="297"/>
      <c r="F580" s="298"/>
      <c r="G580" s="299"/>
      <c r="I580" s="288"/>
      <c r="J580" s="289"/>
      <c r="K580" s="290"/>
    </row>
    <row r="581">
      <c r="A581" s="295"/>
      <c r="B581" s="295"/>
      <c r="C581" s="296"/>
      <c r="D581" s="295"/>
      <c r="E581" s="297"/>
      <c r="F581" s="298"/>
      <c r="G581" s="299"/>
      <c r="I581" s="288"/>
      <c r="J581" s="289"/>
      <c r="K581" s="290"/>
    </row>
    <row r="582">
      <c r="A582" s="295"/>
      <c r="B582" s="295"/>
      <c r="C582" s="296"/>
      <c r="D582" s="295"/>
      <c r="E582" s="297"/>
      <c r="F582" s="298"/>
      <c r="G582" s="299"/>
      <c r="I582" s="288"/>
      <c r="J582" s="289"/>
      <c r="K582" s="290"/>
    </row>
    <row r="583">
      <c r="A583" s="295"/>
      <c r="B583" s="295"/>
      <c r="C583" s="296"/>
      <c r="D583" s="295"/>
      <c r="E583" s="297"/>
      <c r="F583" s="298"/>
      <c r="G583" s="299"/>
      <c r="I583" s="288"/>
      <c r="J583" s="289"/>
      <c r="K583" s="290"/>
    </row>
    <row r="584">
      <c r="A584" s="295"/>
      <c r="B584" s="295"/>
      <c r="C584" s="296"/>
      <c r="D584" s="295"/>
      <c r="E584" s="297"/>
      <c r="F584" s="298"/>
      <c r="G584" s="299"/>
      <c r="I584" s="288"/>
      <c r="J584" s="289"/>
      <c r="K584" s="290"/>
    </row>
    <row r="585">
      <c r="A585" s="295"/>
      <c r="B585" s="295"/>
      <c r="C585" s="296"/>
      <c r="D585" s="295"/>
      <c r="E585" s="297"/>
      <c r="F585" s="298"/>
      <c r="G585" s="299"/>
      <c r="I585" s="288"/>
      <c r="J585" s="289"/>
      <c r="K585" s="290"/>
    </row>
    <row r="586">
      <c r="A586" s="295"/>
      <c r="B586" s="295"/>
      <c r="C586" s="296"/>
      <c r="D586" s="295"/>
      <c r="E586" s="297"/>
      <c r="F586" s="298"/>
      <c r="G586" s="299"/>
      <c r="I586" s="288"/>
      <c r="J586" s="289"/>
      <c r="K586" s="290"/>
    </row>
    <row r="587">
      <c r="A587" s="295"/>
      <c r="B587" s="295"/>
      <c r="C587" s="296"/>
      <c r="D587" s="295"/>
      <c r="E587" s="297"/>
      <c r="F587" s="298"/>
      <c r="G587" s="299"/>
      <c r="I587" s="288"/>
      <c r="J587" s="289"/>
      <c r="K587" s="290"/>
    </row>
    <row r="588">
      <c r="A588" s="295"/>
      <c r="B588" s="295"/>
      <c r="C588" s="296"/>
      <c r="D588" s="295"/>
      <c r="E588" s="297"/>
      <c r="F588" s="298"/>
      <c r="G588" s="299"/>
      <c r="I588" s="288"/>
      <c r="J588" s="289"/>
      <c r="K588" s="290"/>
    </row>
    <row r="589">
      <c r="A589" s="295"/>
      <c r="B589" s="295"/>
      <c r="C589" s="296"/>
      <c r="D589" s="295"/>
      <c r="E589" s="297"/>
      <c r="F589" s="298"/>
      <c r="G589" s="299"/>
      <c r="I589" s="288"/>
      <c r="J589" s="289"/>
      <c r="K589" s="290"/>
    </row>
    <row r="590">
      <c r="A590" s="295"/>
      <c r="B590" s="295"/>
      <c r="C590" s="296"/>
      <c r="D590" s="295"/>
      <c r="E590" s="297"/>
      <c r="F590" s="298"/>
      <c r="G590" s="299"/>
      <c r="I590" s="288"/>
      <c r="J590" s="289"/>
      <c r="K590" s="290"/>
    </row>
    <row r="591">
      <c r="A591" s="295"/>
      <c r="B591" s="295"/>
      <c r="C591" s="296"/>
      <c r="D591" s="295"/>
      <c r="E591" s="297"/>
      <c r="F591" s="298"/>
      <c r="G591" s="299"/>
      <c r="I591" s="288"/>
      <c r="J591" s="289"/>
      <c r="K591" s="290"/>
    </row>
    <row r="592">
      <c r="A592" s="295"/>
      <c r="B592" s="295"/>
      <c r="C592" s="296"/>
      <c r="D592" s="295"/>
      <c r="E592" s="297"/>
      <c r="F592" s="298"/>
      <c r="G592" s="299"/>
      <c r="I592" s="288"/>
      <c r="J592" s="289"/>
      <c r="K592" s="290"/>
    </row>
    <row r="593">
      <c r="A593" s="295"/>
      <c r="B593" s="295"/>
      <c r="C593" s="296"/>
      <c r="D593" s="295"/>
      <c r="E593" s="297"/>
      <c r="F593" s="298"/>
      <c r="G593" s="299"/>
      <c r="I593" s="288"/>
      <c r="J593" s="289"/>
      <c r="K593" s="290"/>
    </row>
    <row r="594">
      <c r="A594" s="295"/>
      <c r="B594" s="295"/>
      <c r="C594" s="296"/>
      <c r="D594" s="295"/>
      <c r="E594" s="297"/>
      <c r="F594" s="298"/>
      <c r="G594" s="299"/>
      <c r="I594" s="288"/>
      <c r="J594" s="289"/>
      <c r="K594" s="290"/>
    </row>
    <row r="595">
      <c r="A595" s="295"/>
      <c r="B595" s="295"/>
      <c r="C595" s="296"/>
      <c r="D595" s="295"/>
      <c r="E595" s="297"/>
      <c r="F595" s="298"/>
      <c r="G595" s="299"/>
      <c r="I595" s="288"/>
      <c r="J595" s="289"/>
      <c r="K595" s="290"/>
    </row>
    <row r="596">
      <c r="A596" s="295"/>
      <c r="B596" s="295"/>
      <c r="C596" s="296"/>
      <c r="D596" s="295"/>
      <c r="E596" s="297"/>
      <c r="F596" s="298"/>
      <c r="G596" s="299"/>
      <c r="I596" s="288"/>
      <c r="J596" s="289"/>
      <c r="K596" s="290"/>
    </row>
    <row r="597">
      <c r="A597" s="295"/>
      <c r="B597" s="295"/>
      <c r="C597" s="296"/>
      <c r="D597" s="295"/>
      <c r="E597" s="297"/>
      <c r="F597" s="298"/>
      <c r="G597" s="299"/>
      <c r="I597" s="288"/>
      <c r="J597" s="289"/>
      <c r="K597" s="290"/>
    </row>
    <row r="598">
      <c r="A598" s="295"/>
      <c r="B598" s="295"/>
      <c r="C598" s="296"/>
      <c r="D598" s="295"/>
      <c r="E598" s="297"/>
      <c r="F598" s="298"/>
      <c r="G598" s="299"/>
      <c r="I598" s="288"/>
      <c r="J598" s="289"/>
      <c r="K598" s="290"/>
    </row>
    <row r="599">
      <c r="A599" s="295"/>
      <c r="B599" s="295"/>
      <c r="C599" s="296"/>
      <c r="D599" s="295"/>
      <c r="E599" s="297"/>
      <c r="F599" s="298"/>
      <c r="G599" s="299"/>
      <c r="I599" s="288"/>
      <c r="J599" s="289"/>
      <c r="K599" s="290"/>
    </row>
    <row r="600">
      <c r="A600" s="295"/>
      <c r="B600" s="295"/>
      <c r="C600" s="296"/>
      <c r="D600" s="295"/>
      <c r="E600" s="297"/>
      <c r="F600" s="298"/>
      <c r="G600" s="299"/>
      <c r="I600" s="288"/>
      <c r="J600" s="289"/>
      <c r="K600" s="290"/>
    </row>
    <row r="601">
      <c r="A601" s="295"/>
      <c r="B601" s="295"/>
      <c r="C601" s="296"/>
      <c r="D601" s="295"/>
      <c r="E601" s="297"/>
      <c r="F601" s="298"/>
      <c r="G601" s="299"/>
      <c r="I601" s="288"/>
      <c r="J601" s="289"/>
      <c r="K601" s="290"/>
    </row>
    <row r="602">
      <c r="A602" s="295"/>
      <c r="B602" s="295"/>
      <c r="C602" s="296"/>
      <c r="D602" s="295"/>
      <c r="E602" s="297"/>
      <c r="F602" s="298"/>
      <c r="G602" s="299"/>
      <c r="I602" s="288"/>
      <c r="J602" s="289"/>
      <c r="K602" s="290"/>
    </row>
    <row r="603">
      <c r="A603" s="295"/>
      <c r="B603" s="295"/>
      <c r="C603" s="296"/>
      <c r="D603" s="295"/>
      <c r="E603" s="297"/>
      <c r="F603" s="298"/>
      <c r="G603" s="299"/>
      <c r="I603" s="288"/>
      <c r="J603" s="289"/>
      <c r="K603" s="290"/>
    </row>
    <row r="604">
      <c r="A604" s="295"/>
      <c r="B604" s="295"/>
      <c r="C604" s="296"/>
      <c r="D604" s="295"/>
      <c r="E604" s="297"/>
      <c r="F604" s="298"/>
      <c r="G604" s="299"/>
      <c r="I604" s="288"/>
      <c r="J604" s="289"/>
      <c r="K604" s="290"/>
    </row>
    <row r="605">
      <c r="A605" s="295"/>
      <c r="B605" s="295"/>
      <c r="C605" s="296"/>
      <c r="D605" s="295"/>
      <c r="E605" s="297"/>
      <c r="F605" s="298"/>
      <c r="G605" s="299"/>
      <c r="I605" s="288"/>
      <c r="J605" s="289"/>
      <c r="K605" s="290"/>
    </row>
    <row r="606">
      <c r="A606" s="295"/>
      <c r="B606" s="295"/>
      <c r="C606" s="296"/>
      <c r="D606" s="295"/>
      <c r="E606" s="297"/>
      <c r="F606" s="298"/>
      <c r="G606" s="299"/>
      <c r="I606" s="288"/>
      <c r="J606" s="289"/>
      <c r="K606" s="290"/>
    </row>
    <row r="607">
      <c r="A607" s="295"/>
      <c r="B607" s="295"/>
      <c r="C607" s="296"/>
      <c r="D607" s="295"/>
      <c r="E607" s="297"/>
      <c r="F607" s="298"/>
      <c r="G607" s="299"/>
      <c r="I607" s="288"/>
      <c r="J607" s="289"/>
      <c r="K607" s="290"/>
    </row>
    <row r="608">
      <c r="A608" s="295"/>
      <c r="B608" s="295"/>
      <c r="C608" s="296"/>
      <c r="D608" s="295"/>
      <c r="E608" s="297"/>
      <c r="F608" s="298"/>
      <c r="G608" s="299"/>
      <c r="I608" s="288"/>
      <c r="J608" s="289"/>
      <c r="K608" s="290"/>
    </row>
    <row r="609">
      <c r="A609" s="295"/>
      <c r="B609" s="295"/>
      <c r="C609" s="296"/>
      <c r="D609" s="295"/>
      <c r="E609" s="297"/>
      <c r="F609" s="298"/>
      <c r="G609" s="299"/>
      <c r="I609" s="288"/>
      <c r="J609" s="289"/>
      <c r="K609" s="290"/>
    </row>
    <row r="610">
      <c r="A610" s="295"/>
      <c r="B610" s="295"/>
      <c r="C610" s="296"/>
      <c r="D610" s="295"/>
      <c r="E610" s="297"/>
      <c r="F610" s="298"/>
      <c r="G610" s="299"/>
      <c r="I610" s="288"/>
      <c r="J610" s="289"/>
      <c r="K610" s="290"/>
    </row>
    <row r="611">
      <c r="A611" s="295"/>
      <c r="B611" s="295"/>
      <c r="C611" s="296"/>
      <c r="D611" s="295"/>
      <c r="E611" s="297"/>
      <c r="F611" s="298"/>
      <c r="G611" s="299"/>
      <c r="I611" s="288"/>
      <c r="J611" s="289"/>
      <c r="K611" s="290"/>
    </row>
    <row r="612">
      <c r="A612" s="295"/>
      <c r="B612" s="295"/>
      <c r="C612" s="296"/>
      <c r="D612" s="295"/>
      <c r="E612" s="297"/>
      <c r="F612" s="298"/>
      <c r="G612" s="299"/>
      <c r="I612" s="288"/>
      <c r="J612" s="289"/>
      <c r="K612" s="290"/>
    </row>
    <row r="613">
      <c r="A613" s="295"/>
      <c r="B613" s="295"/>
      <c r="C613" s="296"/>
      <c r="D613" s="295"/>
      <c r="E613" s="297"/>
      <c r="F613" s="298"/>
      <c r="G613" s="299"/>
      <c r="I613" s="288"/>
      <c r="J613" s="289"/>
      <c r="K613" s="290"/>
    </row>
    <row r="614">
      <c r="A614" s="295"/>
      <c r="B614" s="295"/>
      <c r="C614" s="296"/>
      <c r="D614" s="295"/>
      <c r="E614" s="297"/>
      <c r="F614" s="298"/>
      <c r="G614" s="299"/>
      <c r="I614" s="288"/>
      <c r="J614" s="289"/>
      <c r="K614" s="290"/>
    </row>
    <row r="615">
      <c r="A615" s="295"/>
      <c r="B615" s="295"/>
      <c r="C615" s="296"/>
      <c r="D615" s="295"/>
      <c r="E615" s="297"/>
      <c r="F615" s="298"/>
      <c r="G615" s="299"/>
      <c r="I615" s="288"/>
      <c r="J615" s="289"/>
      <c r="K615" s="290"/>
    </row>
    <row r="616">
      <c r="A616" s="295"/>
      <c r="B616" s="295"/>
      <c r="C616" s="296"/>
      <c r="D616" s="295"/>
      <c r="E616" s="297"/>
      <c r="F616" s="298"/>
      <c r="G616" s="299"/>
      <c r="I616" s="288"/>
      <c r="J616" s="289"/>
      <c r="K616" s="290"/>
    </row>
    <row r="617">
      <c r="A617" s="295"/>
      <c r="B617" s="295"/>
      <c r="C617" s="296"/>
      <c r="D617" s="295"/>
      <c r="E617" s="297"/>
      <c r="F617" s="298"/>
      <c r="G617" s="299"/>
      <c r="I617" s="288"/>
      <c r="J617" s="289"/>
      <c r="K617" s="290"/>
    </row>
    <row r="618">
      <c r="A618" s="295"/>
      <c r="B618" s="295"/>
      <c r="C618" s="296"/>
      <c r="D618" s="295"/>
      <c r="E618" s="297"/>
      <c r="F618" s="298"/>
      <c r="G618" s="299"/>
      <c r="I618" s="288"/>
      <c r="J618" s="289"/>
      <c r="K618" s="290"/>
    </row>
    <row r="619">
      <c r="A619" s="295"/>
      <c r="B619" s="295"/>
      <c r="C619" s="296"/>
      <c r="D619" s="295"/>
      <c r="E619" s="297"/>
      <c r="F619" s="298"/>
      <c r="G619" s="299"/>
      <c r="I619" s="288"/>
      <c r="J619" s="289"/>
      <c r="K619" s="290"/>
    </row>
    <row r="620">
      <c r="A620" s="295"/>
      <c r="B620" s="295"/>
      <c r="C620" s="296"/>
      <c r="D620" s="295"/>
      <c r="E620" s="297"/>
      <c r="F620" s="298"/>
      <c r="G620" s="299"/>
      <c r="I620" s="288"/>
      <c r="J620" s="289"/>
      <c r="K620" s="290"/>
    </row>
    <row r="621">
      <c r="A621" s="295"/>
      <c r="B621" s="295"/>
      <c r="C621" s="296"/>
      <c r="D621" s="295"/>
      <c r="E621" s="297"/>
      <c r="F621" s="298"/>
      <c r="G621" s="299"/>
      <c r="I621" s="288"/>
      <c r="J621" s="289"/>
      <c r="K621" s="290"/>
    </row>
    <row r="622">
      <c r="A622" s="295"/>
      <c r="B622" s="295"/>
      <c r="C622" s="296"/>
      <c r="D622" s="295"/>
      <c r="E622" s="297"/>
      <c r="F622" s="298"/>
      <c r="G622" s="299"/>
      <c r="I622" s="288"/>
      <c r="J622" s="289"/>
      <c r="K622" s="290"/>
    </row>
    <row r="623">
      <c r="A623" s="295"/>
      <c r="B623" s="295"/>
      <c r="C623" s="296"/>
      <c r="D623" s="295"/>
      <c r="E623" s="297"/>
      <c r="F623" s="298"/>
      <c r="G623" s="299"/>
      <c r="I623" s="288"/>
      <c r="J623" s="289"/>
      <c r="K623" s="290"/>
    </row>
    <row r="624">
      <c r="A624" s="295"/>
      <c r="B624" s="295"/>
      <c r="C624" s="296"/>
      <c r="D624" s="295"/>
      <c r="E624" s="297"/>
      <c r="F624" s="298"/>
      <c r="G624" s="299"/>
      <c r="I624" s="288"/>
      <c r="J624" s="289"/>
      <c r="K624" s="290"/>
    </row>
    <row r="625">
      <c r="A625" s="295"/>
      <c r="B625" s="295"/>
      <c r="C625" s="296"/>
      <c r="D625" s="295"/>
      <c r="E625" s="297"/>
      <c r="F625" s="298"/>
      <c r="G625" s="299"/>
      <c r="I625" s="288"/>
      <c r="J625" s="289"/>
      <c r="K625" s="290"/>
    </row>
    <row r="626">
      <c r="A626" s="295"/>
      <c r="B626" s="295"/>
      <c r="C626" s="296"/>
      <c r="D626" s="295"/>
      <c r="E626" s="297"/>
      <c r="F626" s="298"/>
      <c r="G626" s="299"/>
      <c r="I626" s="288"/>
      <c r="J626" s="289"/>
      <c r="K626" s="290"/>
    </row>
    <row r="627">
      <c r="A627" s="295"/>
      <c r="B627" s="295"/>
      <c r="C627" s="296"/>
      <c r="D627" s="295"/>
      <c r="E627" s="297"/>
      <c r="F627" s="298"/>
      <c r="G627" s="299"/>
      <c r="I627" s="288"/>
      <c r="J627" s="289"/>
      <c r="K627" s="290"/>
    </row>
    <row r="628">
      <c r="A628" s="295"/>
      <c r="B628" s="295"/>
      <c r="C628" s="296"/>
      <c r="D628" s="295"/>
      <c r="E628" s="297"/>
      <c r="F628" s="298"/>
      <c r="G628" s="299"/>
      <c r="I628" s="288"/>
      <c r="J628" s="289"/>
      <c r="K628" s="290"/>
    </row>
    <row r="629">
      <c r="A629" s="295"/>
      <c r="B629" s="295"/>
      <c r="C629" s="296"/>
      <c r="D629" s="295"/>
      <c r="E629" s="297"/>
      <c r="F629" s="298"/>
      <c r="G629" s="299"/>
      <c r="I629" s="288"/>
      <c r="J629" s="289"/>
      <c r="K629" s="290"/>
    </row>
    <row r="630">
      <c r="A630" s="295"/>
      <c r="B630" s="295"/>
      <c r="C630" s="296"/>
      <c r="D630" s="295"/>
      <c r="E630" s="297"/>
      <c r="F630" s="298"/>
      <c r="G630" s="299"/>
      <c r="I630" s="288"/>
      <c r="J630" s="289"/>
      <c r="K630" s="290"/>
    </row>
    <row r="631">
      <c r="A631" s="295"/>
      <c r="B631" s="295"/>
      <c r="C631" s="296"/>
      <c r="D631" s="295"/>
      <c r="E631" s="297"/>
      <c r="F631" s="298"/>
      <c r="G631" s="299"/>
      <c r="I631" s="288"/>
      <c r="J631" s="289"/>
      <c r="K631" s="290"/>
    </row>
    <row r="632">
      <c r="A632" s="295"/>
      <c r="B632" s="295"/>
      <c r="C632" s="296"/>
      <c r="D632" s="295"/>
      <c r="E632" s="297"/>
      <c r="F632" s="298"/>
      <c r="G632" s="299"/>
      <c r="I632" s="288"/>
      <c r="J632" s="289"/>
      <c r="K632" s="290"/>
    </row>
    <row r="633">
      <c r="A633" s="295"/>
      <c r="B633" s="295"/>
      <c r="C633" s="296"/>
      <c r="D633" s="295"/>
      <c r="E633" s="297"/>
      <c r="F633" s="298"/>
      <c r="G633" s="299"/>
      <c r="I633" s="288"/>
      <c r="J633" s="289"/>
      <c r="K633" s="290"/>
    </row>
    <row r="634">
      <c r="A634" s="295"/>
      <c r="B634" s="295"/>
      <c r="C634" s="296"/>
      <c r="D634" s="295"/>
      <c r="E634" s="297"/>
      <c r="F634" s="298"/>
      <c r="G634" s="299"/>
      <c r="I634" s="288"/>
      <c r="J634" s="289"/>
      <c r="K634" s="290"/>
    </row>
    <row r="635">
      <c r="A635" s="295"/>
      <c r="B635" s="295"/>
      <c r="C635" s="296"/>
      <c r="D635" s="295"/>
      <c r="E635" s="297"/>
      <c r="F635" s="298"/>
      <c r="G635" s="299"/>
      <c r="I635" s="288"/>
      <c r="J635" s="289"/>
      <c r="K635" s="290"/>
    </row>
    <row r="636">
      <c r="A636" s="295"/>
      <c r="B636" s="295"/>
      <c r="C636" s="296"/>
      <c r="D636" s="295"/>
      <c r="E636" s="297"/>
      <c r="F636" s="298"/>
      <c r="G636" s="299"/>
      <c r="I636" s="288"/>
      <c r="J636" s="289"/>
      <c r="K636" s="290"/>
    </row>
    <row r="637">
      <c r="A637" s="295"/>
      <c r="B637" s="295"/>
      <c r="C637" s="296"/>
      <c r="D637" s="295"/>
      <c r="E637" s="297"/>
      <c r="F637" s="298"/>
      <c r="G637" s="299"/>
      <c r="I637" s="288"/>
      <c r="J637" s="289"/>
      <c r="K637" s="290"/>
    </row>
    <row r="638">
      <c r="A638" s="295"/>
      <c r="B638" s="295"/>
      <c r="C638" s="296"/>
      <c r="D638" s="295"/>
      <c r="E638" s="297"/>
      <c r="F638" s="298"/>
      <c r="G638" s="299"/>
      <c r="I638" s="288"/>
      <c r="J638" s="289"/>
      <c r="K638" s="290"/>
    </row>
    <row r="639">
      <c r="A639" s="295"/>
      <c r="B639" s="295"/>
      <c r="C639" s="296"/>
      <c r="D639" s="295"/>
      <c r="E639" s="297"/>
      <c r="F639" s="298"/>
      <c r="G639" s="299"/>
      <c r="I639" s="288"/>
      <c r="J639" s="289"/>
      <c r="K639" s="290"/>
    </row>
    <row r="640">
      <c r="A640" s="295"/>
      <c r="B640" s="295"/>
      <c r="C640" s="296"/>
      <c r="D640" s="295"/>
      <c r="E640" s="297"/>
      <c r="F640" s="298"/>
      <c r="G640" s="299"/>
      <c r="I640" s="288"/>
      <c r="J640" s="289"/>
      <c r="K640" s="290"/>
    </row>
    <row r="641">
      <c r="A641" s="295"/>
      <c r="B641" s="295"/>
      <c r="C641" s="296"/>
      <c r="D641" s="295"/>
      <c r="E641" s="297"/>
      <c r="F641" s="298"/>
      <c r="G641" s="299"/>
      <c r="I641" s="288"/>
      <c r="J641" s="289"/>
      <c r="K641" s="290"/>
    </row>
    <row r="642">
      <c r="A642" s="295"/>
      <c r="B642" s="295"/>
      <c r="C642" s="296"/>
      <c r="D642" s="295"/>
      <c r="E642" s="297"/>
      <c r="F642" s="298"/>
      <c r="G642" s="299"/>
      <c r="I642" s="288"/>
      <c r="J642" s="289"/>
      <c r="K642" s="290"/>
    </row>
    <row r="643">
      <c r="A643" s="295"/>
      <c r="B643" s="295"/>
      <c r="C643" s="296"/>
      <c r="D643" s="295"/>
      <c r="E643" s="297"/>
      <c r="F643" s="298"/>
      <c r="G643" s="299"/>
      <c r="I643" s="288"/>
      <c r="J643" s="289"/>
      <c r="K643" s="290"/>
    </row>
    <row r="644">
      <c r="A644" s="295"/>
      <c r="B644" s="295"/>
      <c r="C644" s="296"/>
      <c r="D644" s="295"/>
      <c r="E644" s="297"/>
      <c r="F644" s="298"/>
      <c r="G644" s="299"/>
      <c r="I644" s="288"/>
      <c r="J644" s="289"/>
      <c r="K644" s="290"/>
    </row>
    <row r="645">
      <c r="A645" s="295"/>
      <c r="B645" s="295"/>
      <c r="C645" s="296"/>
      <c r="D645" s="295"/>
      <c r="E645" s="297"/>
      <c r="F645" s="298"/>
      <c r="G645" s="299"/>
      <c r="I645" s="288"/>
      <c r="J645" s="289"/>
      <c r="K645" s="290"/>
    </row>
    <row r="646">
      <c r="A646" s="295"/>
      <c r="B646" s="295"/>
      <c r="C646" s="296"/>
      <c r="D646" s="295"/>
      <c r="E646" s="297"/>
      <c r="F646" s="298"/>
      <c r="G646" s="299"/>
      <c r="I646" s="288"/>
      <c r="J646" s="289"/>
      <c r="K646" s="290"/>
    </row>
    <row r="647">
      <c r="A647" s="295"/>
      <c r="B647" s="295"/>
      <c r="C647" s="296"/>
      <c r="D647" s="295"/>
      <c r="E647" s="297"/>
      <c r="F647" s="298"/>
      <c r="G647" s="299"/>
      <c r="I647" s="288"/>
      <c r="J647" s="289"/>
      <c r="K647" s="290"/>
    </row>
    <row r="648">
      <c r="A648" s="295"/>
      <c r="B648" s="295"/>
      <c r="C648" s="296"/>
      <c r="D648" s="295"/>
      <c r="E648" s="297"/>
      <c r="F648" s="298"/>
      <c r="G648" s="299"/>
      <c r="I648" s="288"/>
      <c r="J648" s="289"/>
      <c r="K648" s="290"/>
    </row>
    <row r="649">
      <c r="A649" s="295"/>
      <c r="B649" s="295"/>
      <c r="C649" s="296"/>
      <c r="D649" s="295"/>
      <c r="E649" s="297"/>
      <c r="F649" s="298"/>
      <c r="G649" s="299"/>
      <c r="I649" s="288"/>
      <c r="J649" s="289"/>
      <c r="K649" s="290"/>
    </row>
    <row r="650">
      <c r="A650" s="295"/>
      <c r="B650" s="295"/>
      <c r="C650" s="296"/>
      <c r="D650" s="295"/>
      <c r="E650" s="297"/>
      <c r="F650" s="298"/>
      <c r="G650" s="299"/>
      <c r="I650" s="288"/>
      <c r="J650" s="289"/>
      <c r="K650" s="290"/>
    </row>
    <row r="651">
      <c r="A651" s="295"/>
      <c r="B651" s="295"/>
      <c r="C651" s="296"/>
      <c r="D651" s="295"/>
      <c r="E651" s="297"/>
      <c r="F651" s="298"/>
      <c r="G651" s="299"/>
      <c r="I651" s="288"/>
      <c r="J651" s="289"/>
      <c r="K651" s="290"/>
    </row>
    <row r="652">
      <c r="A652" s="295"/>
      <c r="B652" s="295"/>
      <c r="C652" s="296"/>
      <c r="D652" s="295"/>
      <c r="E652" s="297"/>
      <c r="F652" s="298"/>
      <c r="G652" s="299"/>
      <c r="I652" s="288"/>
      <c r="J652" s="289"/>
      <c r="K652" s="290"/>
    </row>
    <row r="653">
      <c r="A653" s="295"/>
      <c r="B653" s="295"/>
      <c r="C653" s="296"/>
      <c r="D653" s="295"/>
      <c r="E653" s="297"/>
      <c r="F653" s="298"/>
      <c r="G653" s="299"/>
      <c r="I653" s="288"/>
      <c r="J653" s="289"/>
      <c r="K653" s="290"/>
    </row>
    <row r="654">
      <c r="A654" s="295"/>
      <c r="B654" s="295"/>
      <c r="C654" s="296"/>
      <c r="D654" s="295"/>
      <c r="E654" s="297"/>
      <c r="F654" s="298"/>
      <c r="G654" s="299"/>
      <c r="I654" s="288"/>
      <c r="J654" s="289"/>
      <c r="K654" s="290"/>
    </row>
    <row r="655">
      <c r="A655" s="295"/>
      <c r="B655" s="295"/>
      <c r="C655" s="296"/>
      <c r="D655" s="295"/>
      <c r="E655" s="297"/>
      <c r="F655" s="298"/>
      <c r="G655" s="299"/>
      <c r="I655" s="288"/>
      <c r="J655" s="289"/>
      <c r="K655" s="290"/>
    </row>
    <row r="656">
      <c r="A656" s="295"/>
      <c r="B656" s="295"/>
      <c r="C656" s="296"/>
      <c r="D656" s="295"/>
      <c r="E656" s="297"/>
      <c r="F656" s="298"/>
      <c r="G656" s="299"/>
      <c r="I656" s="288"/>
      <c r="J656" s="289"/>
      <c r="K656" s="290"/>
    </row>
    <row r="657">
      <c r="A657" s="295"/>
      <c r="B657" s="295"/>
      <c r="C657" s="296"/>
      <c r="D657" s="295"/>
      <c r="E657" s="297"/>
      <c r="F657" s="298"/>
      <c r="G657" s="299"/>
      <c r="I657" s="288"/>
      <c r="J657" s="289"/>
      <c r="K657" s="290"/>
    </row>
    <row r="658">
      <c r="A658" s="295"/>
      <c r="B658" s="295"/>
      <c r="C658" s="296"/>
      <c r="D658" s="295"/>
      <c r="E658" s="297"/>
      <c r="F658" s="298"/>
      <c r="G658" s="299"/>
      <c r="I658" s="288"/>
      <c r="J658" s="289"/>
      <c r="K658" s="290"/>
    </row>
    <row r="659">
      <c r="A659" s="295"/>
      <c r="B659" s="295"/>
      <c r="C659" s="296"/>
      <c r="D659" s="295"/>
      <c r="E659" s="297"/>
      <c r="F659" s="298"/>
      <c r="G659" s="299"/>
      <c r="I659" s="288"/>
      <c r="J659" s="289"/>
      <c r="K659" s="290"/>
    </row>
    <row r="660">
      <c r="A660" s="295"/>
      <c r="B660" s="295"/>
      <c r="C660" s="296"/>
      <c r="D660" s="295"/>
      <c r="E660" s="297"/>
      <c r="F660" s="298"/>
      <c r="G660" s="299"/>
      <c r="I660" s="288"/>
      <c r="J660" s="289"/>
      <c r="K660" s="290"/>
    </row>
    <row r="661">
      <c r="A661" s="295"/>
      <c r="B661" s="295"/>
      <c r="C661" s="296"/>
      <c r="D661" s="295"/>
      <c r="E661" s="297"/>
      <c r="F661" s="298"/>
      <c r="G661" s="299"/>
      <c r="I661" s="288"/>
      <c r="J661" s="289"/>
      <c r="K661" s="290"/>
    </row>
    <row r="662">
      <c r="A662" s="295"/>
      <c r="B662" s="295"/>
      <c r="C662" s="296"/>
      <c r="D662" s="295"/>
      <c r="E662" s="297"/>
      <c r="F662" s="298"/>
      <c r="G662" s="299"/>
      <c r="I662" s="288"/>
      <c r="J662" s="289"/>
      <c r="K662" s="290"/>
    </row>
    <row r="663">
      <c r="A663" s="295"/>
      <c r="B663" s="295"/>
      <c r="C663" s="296"/>
      <c r="D663" s="295"/>
      <c r="E663" s="297"/>
      <c r="F663" s="298"/>
      <c r="G663" s="299"/>
      <c r="I663" s="288"/>
      <c r="J663" s="289"/>
      <c r="K663" s="290"/>
    </row>
    <row r="664">
      <c r="A664" s="295"/>
      <c r="B664" s="295"/>
      <c r="C664" s="296"/>
      <c r="D664" s="295"/>
      <c r="E664" s="297"/>
      <c r="F664" s="298"/>
      <c r="G664" s="299"/>
      <c r="I664" s="288"/>
      <c r="J664" s="289"/>
      <c r="K664" s="290"/>
    </row>
    <row r="665">
      <c r="A665" s="295"/>
      <c r="B665" s="295"/>
      <c r="C665" s="296"/>
      <c r="D665" s="295"/>
      <c r="E665" s="297"/>
      <c r="F665" s="298"/>
      <c r="G665" s="299"/>
      <c r="I665" s="288"/>
      <c r="J665" s="289"/>
      <c r="K665" s="290"/>
    </row>
    <row r="666">
      <c r="A666" s="295"/>
      <c r="B666" s="295"/>
      <c r="C666" s="296"/>
      <c r="D666" s="295"/>
      <c r="E666" s="297"/>
      <c r="F666" s="298"/>
      <c r="G666" s="299"/>
      <c r="I666" s="288"/>
      <c r="J666" s="289"/>
      <c r="K666" s="290"/>
    </row>
    <row r="667">
      <c r="A667" s="295"/>
      <c r="B667" s="295"/>
      <c r="C667" s="296"/>
      <c r="D667" s="295"/>
      <c r="E667" s="297"/>
      <c r="F667" s="298"/>
      <c r="G667" s="299"/>
      <c r="I667" s="288"/>
      <c r="J667" s="289"/>
      <c r="K667" s="290"/>
    </row>
    <row r="668">
      <c r="A668" s="295"/>
      <c r="B668" s="295"/>
      <c r="C668" s="296"/>
      <c r="D668" s="295"/>
      <c r="E668" s="297"/>
      <c r="F668" s="298"/>
      <c r="G668" s="299"/>
      <c r="I668" s="288"/>
      <c r="J668" s="289"/>
      <c r="K668" s="290"/>
    </row>
    <row r="669">
      <c r="A669" s="295"/>
      <c r="B669" s="295"/>
      <c r="C669" s="296"/>
      <c r="D669" s="295"/>
      <c r="E669" s="297"/>
      <c r="F669" s="298"/>
      <c r="G669" s="299"/>
      <c r="I669" s="288"/>
      <c r="J669" s="289"/>
      <c r="K669" s="290"/>
    </row>
    <row r="670">
      <c r="A670" s="295"/>
      <c r="B670" s="295"/>
      <c r="C670" s="296"/>
      <c r="D670" s="295"/>
      <c r="E670" s="297"/>
      <c r="F670" s="298"/>
      <c r="G670" s="299"/>
      <c r="I670" s="288"/>
      <c r="J670" s="289"/>
      <c r="K670" s="290"/>
    </row>
    <row r="671">
      <c r="A671" s="295"/>
      <c r="B671" s="295"/>
      <c r="C671" s="296"/>
      <c r="D671" s="295"/>
      <c r="E671" s="297"/>
      <c r="F671" s="298"/>
      <c r="G671" s="299"/>
      <c r="I671" s="288"/>
      <c r="J671" s="289"/>
      <c r="K671" s="290"/>
    </row>
    <row r="672">
      <c r="A672" s="295"/>
      <c r="B672" s="295"/>
      <c r="C672" s="296"/>
      <c r="D672" s="295"/>
      <c r="E672" s="297"/>
      <c r="F672" s="298"/>
      <c r="G672" s="299"/>
      <c r="I672" s="288"/>
      <c r="J672" s="289"/>
      <c r="K672" s="290"/>
    </row>
    <row r="673">
      <c r="A673" s="295"/>
      <c r="B673" s="295"/>
      <c r="C673" s="296"/>
      <c r="D673" s="295"/>
      <c r="E673" s="297"/>
      <c r="F673" s="298"/>
      <c r="G673" s="299"/>
      <c r="I673" s="288"/>
      <c r="J673" s="289"/>
      <c r="K673" s="290"/>
    </row>
    <row r="674">
      <c r="A674" s="295"/>
      <c r="B674" s="295"/>
      <c r="C674" s="296"/>
      <c r="D674" s="295"/>
      <c r="E674" s="297"/>
      <c r="F674" s="298"/>
      <c r="G674" s="299"/>
      <c r="I674" s="288"/>
      <c r="J674" s="289"/>
      <c r="K674" s="290"/>
    </row>
    <row r="675">
      <c r="A675" s="295"/>
      <c r="B675" s="295"/>
      <c r="C675" s="296"/>
      <c r="D675" s="295"/>
      <c r="E675" s="297"/>
      <c r="F675" s="298"/>
      <c r="G675" s="299"/>
      <c r="I675" s="288"/>
      <c r="J675" s="289"/>
      <c r="K675" s="290"/>
    </row>
    <row r="676">
      <c r="A676" s="295"/>
      <c r="B676" s="295"/>
      <c r="C676" s="296"/>
      <c r="D676" s="295"/>
      <c r="E676" s="297"/>
      <c r="F676" s="298"/>
      <c r="G676" s="299"/>
      <c r="I676" s="288"/>
      <c r="J676" s="289"/>
      <c r="K676" s="290"/>
    </row>
    <row r="677">
      <c r="A677" s="295"/>
      <c r="B677" s="295"/>
      <c r="C677" s="296"/>
      <c r="D677" s="295"/>
      <c r="E677" s="297"/>
      <c r="F677" s="298"/>
      <c r="G677" s="299"/>
      <c r="I677" s="288"/>
      <c r="J677" s="289"/>
      <c r="K677" s="290"/>
    </row>
    <row r="678">
      <c r="A678" s="295"/>
      <c r="B678" s="295"/>
      <c r="C678" s="296"/>
      <c r="D678" s="295"/>
      <c r="E678" s="297"/>
      <c r="F678" s="298"/>
      <c r="G678" s="299"/>
      <c r="I678" s="288"/>
      <c r="J678" s="289"/>
      <c r="K678" s="290"/>
    </row>
    <row r="679">
      <c r="A679" s="295"/>
      <c r="B679" s="295"/>
      <c r="C679" s="296"/>
      <c r="D679" s="295"/>
      <c r="E679" s="297"/>
      <c r="F679" s="298"/>
      <c r="G679" s="299"/>
      <c r="I679" s="288"/>
      <c r="J679" s="289"/>
      <c r="K679" s="290"/>
    </row>
    <row r="680">
      <c r="A680" s="295"/>
      <c r="B680" s="295"/>
      <c r="C680" s="296"/>
      <c r="D680" s="295"/>
      <c r="E680" s="297"/>
      <c r="F680" s="298"/>
      <c r="G680" s="299"/>
      <c r="I680" s="288"/>
      <c r="J680" s="289"/>
      <c r="K680" s="290"/>
    </row>
    <row r="681">
      <c r="A681" s="295"/>
      <c r="B681" s="295"/>
      <c r="C681" s="296"/>
      <c r="D681" s="295"/>
      <c r="E681" s="297"/>
      <c r="F681" s="298"/>
      <c r="G681" s="299"/>
      <c r="I681" s="288"/>
      <c r="J681" s="289"/>
      <c r="K681" s="290"/>
    </row>
    <row r="682">
      <c r="A682" s="295"/>
      <c r="B682" s="295"/>
      <c r="C682" s="296"/>
      <c r="D682" s="295"/>
      <c r="E682" s="297"/>
      <c r="F682" s="298"/>
      <c r="G682" s="299"/>
      <c r="I682" s="288"/>
      <c r="J682" s="289"/>
      <c r="K682" s="290"/>
    </row>
    <row r="683">
      <c r="A683" s="295"/>
      <c r="B683" s="295"/>
      <c r="C683" s="296"/>
      <c r="D683" s="295"/>
      <c r="E683" s="297"/>
      <c r="F683" s="298"/>
      <c r="G683" s="299"/>
      <c r="I683" s="288"/>
      <c r="J683" s="289"/>
      <c r="K683" s="290"/>
    </row>
    <row r="684">
      <c r="A684" s="295"/>
      <c r="B684" s="295"/>
      <c r="C684" s="296"/>
      <c r="D684" s="295"/>
      <c r="E684" s="297"/>
      <c r="F684" s="298"/>
      <c r="G684" s="299"/>
      <c r="I684" s="288"/>
      <c r="J684" s="289"/>
      <c r="K684" s="290"/>
    </row>
    <row r="685">
      <c r="A685" s="295"/>
      <c r="B685" s="295"/>
      <c r="C685" s="296"/>
      <c r="D685" s="295"/>
      <c r="E685" s="297"/>
      <c r="F685" s="298"/>
      <c r="G685" s="299"/>
      <c r="I685" s="288"/>
      <c r="J685" s="289"/>
      <c r="K685" s="290"/>
    </row>
    <row r="686">
      <c r="A686" s="295"/>
      <c r="B686" s="295"/>
      <c r="C686" s="296"/>
      <c r="D686" s="295"/>
      <c r="E686" s="297"/>
      <c r="F686" s="298"/>
      <c r="G686" s="299"/>
      <c r="I686" s="288"/>
      <c r="J686" s="289"/>
      <c r="K686" s="290"/>
    </row>
    <row r="687">
      <c r="A687" s="295"/>
      <c r="B687" s="295"/>
      <c r="C687" s="296"/>
      <c r="D687" s="295"/>
      <c r="E687" s="297"/>
      <c r="F687" s="298"/>
      <c r="G687" s="299"/>
      <c r="I687" s="288"/>
      <c r="J687" s="289"/>
      <c r="K687" s="290"/>
    </row>
    <row r="688">
      <c r="A688" s="295"/>
      <c r="B688" s="295"/>
      <c r="C688" s="296"/>
      <c r="D688" s="295"/>
      <c r="E688" s="297"/>
      <c r="F688" s="298"/>
      <c r="G688" s="299"/>
      <c r="I688" s="288"/>
      <c r="J688" s="289"/>
      <c r="K688" s="290"/>
    </row>
    <row r="689">
      <c r="A689" s="295"/>
      <c r="B689" s="295"/>
      <c r="C689" s="296"/>
      <c r="D689" s="295"/>
      <c r="E689" s="297"/>
      <c r="F689" s="298"/>
      <c r="G689" s="299"/>
      <c r="I689" s="288"/>
      <c r="J689" s="289"/>
      <c r="K689" s="290"/>
    </row>
    <row r="690">
      <c r="A690" s="295"/>
      <c r="B690" s="295"/>
      <c r="C690" s="296"/>
      <c r="D690" s="295"/>
      <c r="E690" s="297"/>
      <c r="F690" s="298"/>
      <c r="G690" s="299"/>
      <c r="I690" s="288"/>
      <c r="J690" s="289"/>
      <c r="K690" s="290"/>
    </row>
    <row r="691">
      <c r="A691" s="295"/>
      <c r="B691" s="295"/>
      <c r="C691" s="296"/>
      <c r="D691" s="295"/>
      <c r="E691" s="297"/>
      <c r="F691" s="298"/>
      <c r="G691" s="299"/>
      <c r="I691" s="288"/>
      <c r="J691" s="289"/>
      <c r="K691" s="290"/>
    </row>
    <row r="692">
      <c r="A692" s="295"/>
      <c r="B692" s="295"/>
      <c r="C692" s="296"/>
      <c r="D692" s="295"/>
      <c r="E692" s="297"/>
      <c r="F692" s="298"/>
      <c r="G692" s="299"/>
      <c r="I692" s="288"/>
      <c r="J692" s="289"/>
      <c r="K692" s="290"/>
    </row>
    <row r="693">
      <c r="A693" s="295"/>
      <c r="B693" s="295"/>
      <c r="C693" s="296"/>
      <c r="D693" s="295"/>
      <c r="E693" s="297"/>
      <c r="F693" s="298"/>
      <c r="G693" s="299"/>
      <c r="I693" s="288"/>
      <c r="J693" s="289"/>
      <c r="K693" s="290"/>
    </row>
    <row r="694">
      <c r="A694" s="295"/>
      <c r="B694" s="295"/>
      <c r="C694" s="296"/>
      <c r="D694" s="295"/>
      <c r="E694" s="297"/>
      <c r="F694" s="298"/>
      <c r="G694" s="299"/>
      <c r="I694" s="288"/>
      <c r="J694" s="289"/>
      <c r="K694" s="290"/>
    </row>
    <row r="695">
      <c r="A695" s="295"/>
      <c r="B695" s="295"/>
      <c r="C695" s="296"/>
      <c r="D695" s="295"/>
      <c r="E695" s="297"/>
      <c r="F695" s="298"/>
      <c r="G695" s="299"/>
      <c r="I695" s="288"/>
      <c r="J695" s="289"/>
      <c r="K695" s="290"/>
    </row>
    <row r="696">
      <c r="A696" s="295"/>
      <c r="B696" s="295"/>
      <c r="C696" s="296"/>
      <c r="D696" s="295"/>
      <c r="E696" s="297"/>
      <c r="F696" s="298"/>
      <c r="G696" s="299"/>
      <c r="I696" s="288"/>
      <c r="J696" s="289"/>
      <c r="K696" s="290"/>
    </row>
    <row r="697">
      <c r="A697" s="295"/>
      <c r="B697" s="295"/>
      <c r="C697" s="296"/>
      <c r="D697" s="295"/>
      <c r="E697" s="297"/>
      <c r="F697" s="298"/>
      <c r="G697" s="299"/>
      <c r="I697" s="288"/>
      <c r="J697" s="289"/>
      <c r="K697" s="290"/>
    </row>
    <row r="698">
      <c r="A698" s="295"/>
      <c r="B698" s="295"/>
      <c r="C698" s="296"/>
      <c r="D698" s="295"/>
      <c r="E698" s="297"/>
      <c r="F698" s="298"/>
      <c r="G698" s="299"/>
      <c r="I698" s="288"/>
      <c r="J698" s="289"/>
      <c r="K698" s="290"/>
    </row>
    <row r="699">
      <c r="A699" s="295"/>
      <c r="B699" s="295"/>
      <c r="C699" s="296"/>
      <c r="D699" s="295"/>
      <c r="E699" s="297"/>
      <c r="F699" s="298"/>
      <c r="G699" s="299"/>
      <c r="I699" s="288"/>
      <c r="J699" s="289"/>
      <c r="K699" s="290"/>
    </row>
    <row r="700">
      <c r="A700" s="295"/>
      <c r="B700" s="295"/>
      <c r="C700" s="296"/>
      <c r="D700" s="295"/>
      <c r="E700" s="297"/>
      <c r="F700" s="298"/>
      <c r="G700" s="299"/>
      <c r="I700" s="288"/>
      <c r="J700" s="289"/>
      <c r="K700" s="290"/>
    </row>
    <row r="701">
      <c r="A701" s="295"/>
      <c r="B701" s="295"/>
      <c r="C701" s="296"/>
      <c r="D701" s="295"/>
      <c r="E701" s="297"/>
      <c r="F701" s="298"/>
      <c r="G701" s="299"/>
      <c r="I701" s="288"/>
      <c r="J701" s="289"/>
      <c r="K701" s="290"/>
    </row>
    <row r="702">
      <c r="A702" s="295"/>
      <c r="B702" s="295"/>
      <c r="C702" s="296"/>
      <c r="D702" s="295"/>
      <c r="E702" s="297"/>
      <c r="F702" s="298"/>
      <c r="G702" s="299"/>
      <c r="I702" s="288"/>
      <c r="J702" s="289"/>
      <c r="K702" s="290"/>
    </row>
    <row r="703">
      <c r="A703" s="295"/>
      <c r="B703" s="295"/>
      <c r="C703" s="296"/>
      <c r="D703" s="295"/>
      <c r="E703" s="297"/>
      <c r="F703" s="298"/>
      <c r="G703" s="299"/>
      <c r="I703" s="288"/>
      <c r="J703" s="289"/>
      <c r="K703" s="290"/>
    </row>
    <row r="704">
      <c r="A704" s="295"/>
      <c r="B704" s="295"/>
      <c r="C704" s="296"/>
      <c r="D704" s="295"/>
      <c r="E704" s="297"/>
      <c r="F704" s="298"/>
      <c r="G704" s="299"/>
      <c r="I704" s="288"/>
      <c r="J704" s="289"/>
      <c r="K704" s="290"/>
    </row>
    <row r="705">
      <c r="A705" s="295"/>
      <c r="B705" s="295"/>
      <c r="C705" s="296"/>
      <c r="D705" s="295"/>
      <c r="E705" s="297"/>
      <c r="F705" s="298"/>
      <c r="G705" s="299"/>
      <c r="I705" s="288"/>
      <c r="J705" s="289"/>
      <c r="K705" s="290"/>
    </row>
    <row r="706">
      <c r="A706" s="295"/>
      <c r="B706" s="295"/>
      <c r="C706" s="296"/>
      <c r="D706" s="295"/>
      <c r="E706" s="297"/>
      <c r="F706" s="298"/>
      <c r="G706" s="299"/>
      <c r="I706" s="288"/>
      <c r="J706" s="289"/>
      <c r="K706" s="290"/>
    </row>
    <row r="707">
      <c r="A707" s="295"/>
      <c r="B707" s="295"/>
      <c r="C707" s="296"/>
      <c r="D707" s="295"/>
      <c r="E707" s="297"/>
      <c r="F707" s="298"/>
      <c r="G707" s="299"/>
      <c r="I707" s="288"/>
      <c r="J707" s="289"/>
      <c r="K707" s="290"/>
    </row>
    <row r="708">
      <c r="A708" s="295"/>
      <c r="B708" s="295"/>
      <c r="C708" s="296"/>
      <c r="D708" s="295"/>
      <c r="E708" s="297"/>
      <c r="F708" s="298"/>
      <c r="G708" s="299"/>
      <c r="I708" s="288"/>
      <c r="J708" s="289"/>
      <c r="K708" s="290"/>
    </row>
    <row r="709">
      <c r="A709" s="295"/>
      <c r="B709" s="295"/>
      <c r="C709" s="296"/>
      <c r="D709" s="295"/>
      <c r="E709" s="297"/>
      <c r="F709" s="298"/>
      <c r="G709" s="299"/>
      <c r="I709" s="288"/>
      <c r="J709" s="289"/>
      <c r="K709" s="290"/>
    </row>
    <row r="710">
      <c r="A710" s="295"/>
      <c r="B710" s="295"/>
      <c r="C710" s="296"/>
      <c r="D710" s="295"/>
      <c r="E710" s="297"/>
      <c r="F710" s="298"/>
      <c r="G710" s="299"/>
      <c r="I710" s="288"/>
      <c r="J710" s="289"/>
      <c r="K710" s="290"/>
    </row>
    <row r="711">
      <c r="A711" s="295"/>
      <c r="B711" s="295"/>
      <c r="C711" s="296"/>
      <c r="D711" s="295"/>
      <c r="E711" s="297"/>
      <c r="F711" s="298"/>
      <c r="G711" s="299"/>
      <c r="I711" s="288"/>
      <c r="J711" s="289"/>
      <c r="K711" s="290"/>
    </row>
    <row r="712">
      <c r="A712" s="295"/>
      <c r="B712" s="295"/>
      <c r="C712" s="296"/>
      <c r="D712" s="295"/>
      <c r="E712" s="297"/>
      <c r="F712" s="298"/>
      <c r="G712" s="299"/>
      <c r="I712" s="288"/>
      <c r="J712" s="289"/>
      <c r="K712" s="290"/>
    </row>
    <row r="713">
      <c r="A713" s="295"/>
      <c r="B713" s="295"/>
      <c r="C713" s="296"/>
      <c r="D713" s="295"/>
      <c r="E713" s="297"/>
      <c r="F713" s="298"/>
      <c r="G713" s="299"/>
      <c r="I713" s="288"/>
      <c r="J713" s="289"/>
      <c r="K713" s="290"/>
    </row>
    <row r="714">
      <c r="A714" s="295"/>
      <c r="B714" s="295"/>
      <c r="C714" s="296"/>
      <c r="D714" s="295"/>
      <c r="E714" s="297"/>
      <c r="F714" s="298"/>
      <c r="G714" s="299"/>
      <c r="I714" s="288"/>
      <c r="J714" s="289"/>
      <c r="K714" s="290"/>
    </row>
    <row r="715">
      <c r="A715" s="295"/>
      <c r="B715" s="295"/>
      <c r="C715" s="296"/>
      <c r="D715" s="295"/>
      <c r="E715" s="297"/>
      <c r="F715" s="298"/>
      <c r="G715" s="299"/>
      <c r="I715" s="288"/>
      <c r="J715" s="289"/>
      <c r="K715" s="290"/>
    </row>
    <row r="716">
      <c r="A716" s="295"/>
      <c r="B716" s="295"/>
      <c r="C716" s="296"/>
      <c r="D716" s="295"/>
      <c r="E716" s="297"/>
      <c r="F716" s="298"/>
      <c r="G716" s="299"/>
      <c r="I716" s="288"/>
      <c r="J716" s="289"/>
      <c r="K716" s="290"/>
    </row>
    <row r="717">
      <c r="A717" s="295"/>
      <c r="B717" s="295"/>
      <c r="C717" s="296"/>
      <c r="D717" s="295"/>
      <c r="E717" s="297"/>
      <c r="F717" s="298"/>
      <c r="G717" s="299"/>
      <c r="I717" s="288"/>
      <c r="J717" s="289"/>
      <c r="K717" s="290"/>
    </row>
    <row r="718">
      <c r="A718" s="295"/>
      <c r="B718" s="295"/>
      <c r="C718" s="296"/>
      <c r="D718" s="295"/>
      <c r="E718" s="297"/>
      <c r="F718" s="298"/>
      <c r="G718" s="299"/>
      <c r="I718" s="288"/>
      <c r="J718" s="289"/>
      <c r="K718" s="290"/>
    </row>
    <row r="719">
      <c r="A719" s="295"/>
      <c r="B719" s="295"/>
      <c r="C719" s="296"/>
      <c r="D719" s="295"/>
      <c r="E719" s="297"/>
      <c r="F719" s="298"/>
      <c r="G719" s="299"/>
      <c r="I719" s="288"/>
      <c r="J719" s="289"/>
      <c r="K719" s="290"/>
    </row>
    <row r="720">
      <c r="A720" s="295"/>
      <c r="B720" s="295"/>
      <c r="C720" s="296"/>
      <c r="D720" s="295"/>
      <c r="E720" s="297"/>
      <c r="F720" s="298"/>
      <c r="G720" s="299"/>
      <c r="I720" s="288"/>
      <c r="J720" s="289"/>
      <c r="K720" s="290"/>
    </row>
    <row r="721">
      <c r="A721" s="295"/>
      <c r="B721" s="295"/>
      <c r="C721" s="296"/>
      <c r="D721" s="295"/>
      <c r="E721" s="297"/>
      <c r="F721" s="298"/>
      <c r="G721" s="299"/>
      <c r="I721" s="288"/>
      <c r="J721" s="289"/>
      <c r="K721" s="290"/>
    </row>
    <row r="722">
      <c r="A722" s="295"/>
      <c r="B722" s="295"/>
      <c r="C722" s="296"/>
      <c r="D722" s="295"/>
      <c r="E722" s="297"/>
      <c r="F722" s="298"/>
      <c r="G722" s="299"/>
      <c r="I722" s="288"/>
      <c r="J722" s="289"/>
      <c r="K722" s="290"/>
    </row>
    <row r="723">
      <c r="A723" s="295"/>
      <c r="B723" s="295"/>
      <c r="C723" s="296"/>
      <c r="D723" s="295"/>
      <c r="E723" s="297"/>
      <c r="F723" s="298"/>
      <c r="G723" s="299"/>
      <c r="I723" s="288"/>
      <c r="J723" s="289"/>
      <c r="K723" s="290"/>
    </row>
    <row r="724">
      <c r="A724" s="295"/>
      <c r="B724" s="295"/>
      <c r="C724" s="296"/>
      <c r="D724" s="295"/>
      <c r="E724" s="297"/>
      <c r="F724" s="298"/>
      <c r="G724" s="299"/>
      <c r="I724" s="288"/>
      <c r="J724" s="289"/>
      <c r="K724" s="290"/>
    </row>
    <row r="725">
      <c r="A725" s="295"/>
      <c r="B725" s="295"/>
      <c r="C725" s="296"/>
      <c r="D725" s="295"/>
      <c r="E725" s="297"/>
      <c r="F725" s="298"/>
      <c r="G725" s="299"/>
      <c r="I725" s="288"/>
      <c r="J725" s="289"/>
      <c r="K725" s="290"/>
    </row>
    <row r="726">
      <c r="A726" s="295"/>
      <c r="B726" s="295"/>
      <c r="C726" s="296"/>
      <c r="D726" s="295"/>
      <c r="E726" s="297"/>
      <c r="F726" s="298"/>
      <c r="G726" s="299"/>
      <c r="I726" s="288"/>
      <c r="J726" s="289"/>
      <c r="K726" s="290"/>
    </row>
    <row r="727">
      <c r="A727" s="295"/>
      <c r="B727" s="295"/>
      <c r="C727" s="296"/>
      <c r="D727" s="295"/>
      <c r="E727" s="297"/>
      <c r="F727" s="298"/>
      <c r="G727" s="299"/>
      <c r="I727" s="288"/>
      <c r="J727" s="289"/>
      <c r="K727" s="290"/>
    </row>
    <row r="728">
      <c r="A728" s="295"/>
      <c r="B728" s="295"/>
      <c r="C728" s="296"/>
      <c r="D728" s="295"/>
      <c r="E728" s="297"/>
      <c r="F728" s="298"/>
      <c r="G728" s="299"/>
      <c r="I728" s="288"/>
      <c r="J728" s="289"/>
      <c r="K728" s="290"/>
    </row>
    <row r="729">
      <c r="A729" s="295"/>
      <c r="B729" s="295"/>
      <c r="C729" s="296"/>
      <c r="D729" s="295"/>
      <c r="E729" s="297"/>
      <c r="F729" s="298"/>
      <c r="G729" s="299"/>
      <c r="I729" s="288"/>
      <c r="J729" s="289"/>
      <c r="K729" s="290"/>
    </row>
    <row r="730">
      <c r="A730" s="295"/>
      <c r="B730" s="295"/>
      <c r="C730" s="296"/>
      <c r="D730" s="295"/>
      <c r="E730" s="297"/>
      <c r="F730" s="298"/>
      <c r="G730" s="299"/>
      <c r="I730" s="288"/>
      <c r="J730" s="289"/>
      <c r="K730" s="290"/>
    </row>
    <row r="731">
      <c r="A731" s="295"/>
      <c r="B731" s="295"/>
      <c r="C731" s="296"/>
      <c r="D731" s="295"/>
      <c r="E731" s="297"/>
      <c r="F731" s="298"/>
      <c r="G731" s="299"/>
      <c r="I731" s="288"/>
      <c r="J731" s="289"/>
      <c r="K731" s="290"/>
    </row>
    <row r="732">
      <c r="A732" s="295"/>
      <c r="B732" s="295"/>
      <c r="C732" s="296"/>
      <c r="D732" s="295"/>
      <c r="E732" s="297"/>
      <c r="F732" s="298"/>
      <c r="G732" s="299"/>
      <c r="I732" s="288"/>
      <c r="J732" s="289"/>
      <c r="K732" s="290"/>
    </row>
    <row r="733">
      <c r="A733" s="295"/>
      <c r="B733" s="295"/>
      <c r="C733" s="296"/>
      <c r="D733" s="295"/>
      <c r="E733" s="297"/>
      <c r="F733" s="298"/>
      <c r="G733" s="299"/>
      <c r="I733" s="288"/>
      <c r="J733" s="289"/>
      <c r="K733" s="290"/>
    </row>
    <row r="734">
      <c r="A734" s="295"/>
      <c r="B734" s="295"/>
      <c r="C734" s="296"/>
      <c r="D734" s="295"/>
      <c r="E734" s="297"/>
      <c r="F734" s="298"/>
      <c r="G734" s="299"/>
      <c r="I734" s="288"/>
      <c r="J734" s="289"/>
      <c r="K734" s="290"/>
    </row>
    <row r="735">
      <c r="A735" s="295"/>
      <c r="B735" s="295"/>
      <c r="C735" s="296"/>
      <c r="D735" s="295"/>
      <c r="E735" s="297"/>
      <c r="F735" s="298"/>
      <c r="G735" s="299"/>
      <c r="I735" s="288"/>
      <c r="J735" s="289"/>
      <c r="K735" s="290"/>
    </row>
    <row r="736">
      <c r="A736" s="295"/>
      <c r="B736" s="295"/>
      <c r="C736" s="296"/>
      <c r="D736" s="295"/>
      <c r="E736" s="297"/>
      <c r="F736" s="298"/>
      <c r="G736" s="299"/>
      <c r="I736" s="288"/>
      <c r="J736" s="289"/>
      <c r="K736" s="290"/>
    </row>
    <row r="737">
      <c r="A737" s="295"/>
      <c r="B737" s="295"/>
      <c r="C737" s="296"/>
      <c r="D737" s="295"/>
      <c r="E737" s="297"/>
      <c r="F737" s="298"/>
      <c r="G737" s="299"/>
      <c r="I737" s="288"/>
      <c r="J737" s="289"/>
      <c r="K737" s="290"/>
    </row>
    <row r="738">
      <c r="A738" s="295"/>
      <c r="B738" s="295"/>
      <c r="C738" s="296"/>
      <c r="D738" s="295"/>
      <c r="E738" s="297"/>
      <c r="F738" s="298"/>
      <c r="G738" s="299"/>
      <c r="I738" s="288"/>
      <c r="J738" s="289"/>
      <c r="K738" s="290"/>
    </row>
    <row r="739">
      <c r="A739" s="295"/>
      <c r="B739" s="295"/>
      <c r="C739" s="296"/>
      <c r="D739" s="295"/>
      <c r="E739" s="297"/>
      <c r="F739" s="298"/>
      <c r="G739" s="299"/>
      <c r="I739" s="288"/>
      <c r="J739" s="289"/>
      <c r="K739" s="290"/>
    </row>
    <row r="740">
      <c r="A740" s="295"/>
      <c r="B740" s="295"/>
      <c r="C740" s="296"/>
      <c r="D740" s="295"/>
      <c r="E740" s="297"/>
      <c r="F740" s="298"/>
      <c r="G740" s="299"/>
      <c r="I740" s="288"/>
      <c r="J740" s="289"/>
      <c r="K740" s="290"/>
    </row>
    <row r="741">
      <c r="A741" s="295"/>
      <c r="B741" s="295"/>
      <c r="C741" s="296"/>
      <c r="D741" s="295"/>
      <c r="E741" s="297"/>
      <c r="F741" s="298"/>
      <c r="G741" s="299"/>
      <c r="I741" s="288"/>
      <c r="J741" s="289"/>
      <c r="K741" s="290"/>
    </row>
    <row r="742">
      <c r="A742" s="295"/>
      <c r="B742" s="295"/>
      <c r="C742" s="296"/>
      <c r="D742" s="295"/>
      <c r="E742" s="297"/>
      <c r="F742" s="298"/>
      <c r="G742" s="299"/>
      <c r="I742" s="288"/>
      <c r="J742" s="289"/>
      <c r="K742" s="290"/>
    </row>
    <row r="743">
      <c r="A743" s="295"/>
      <c r="B743" s="295"/>
      <c r="C743" s="296"/>
      <c r="D743" s="295"/>
      <c r="E743" s="297"/>
      <c r="F743" s="298"/>
      <c r="G743" s="299"/>
      <c r="I743" s="288"/>
      <c r="J743" s="289"/>
      <c r="K743" s="290"/>
    </row>
    <row r="744">
      <c r="A744" s="295"/>
      <c r="B744" s="295"/>
      <c r="C744" s="296"/>
      <c r="D744" s="295"/>
      <c r="E744" s="297"/>
      <c r="F744" s="298"/>
      <c r="G744" s="299"/>
      <c r="I744" s="288"/>
      <c r="J744" s="289"/>
      <c r="K744" s="290"/>
    </row>
    <row r="745">
      <c r="A745" s="295"/>
      <c r="B745" s="295"/>
      <c r="C745" s="296"/>
      <c r="D745" s="295"/>
      <c r="E745" s="297"/>
      <c r="F745" s="298"/>
      <c r="G745" s="299"/>
      <c r="I745" s="288"/>
      <c r="J745" s="289"/>
      <c r="K745" s="290"/>
    </row>
    <row r="746">
      <c r="A746" s="295"/>
      <c r="B746" s="295"/>
      <c r="C746" s="296"/>
      <c r="D746" s="295"/>
      <c r="E746" s="297"/>
      <c r="F746" s="298"/>
      <c r="G746" s="299"/>
      <c r="I746" s="288"/>
      <c r="J746" s="289"/>
      <c r="K746" s="290"/>
    </row>
    <row r="747">
      <c r="A747" s="295"/>
      <c r="B747" s="295"/>
      <c r="C747" s="296"/>
      <c r="D747" s="295"/>
      <c r="E747" s="297"/>
      <c r="F747" s="298"/>
      <c r="G747" s="299"/>
      <c r="I747" s="288"/>
      <c r="J747" s="289"/>
      <c r="K747" s="290"/>
    </row>
    <row r="748">
      <c r="A748" s="295"/>
      <c r="B748" s="295"/>
      <c r="C748" s="296"/>
      <c r="D748" s="295"/>
      <c r="E748" s="297"/>
      <c r="F748" s="298"/>
      <c r="G748" s="299"/>
      <c r="I748" s="288"/>
      <c r="J748" s="289"/>
      <c r="K748" s="290"/>
    </row>
    <row r="749">
      <c r="A749" s="295"/>
      <c r="B749" s="295"/>
      <c r="C749" s="296"/>
      <c r="D749" s="295"/>
      <c r="E749" s="297"/>
      <c r="F749" s="298"/>
      <c r="G749" s="299"/>
      <c r="I749" s="288"/>
      <c r="J749" s="289"/>
      <c r="K749" s="290"/>
    </row>
    <row r="750">
      <c r="A750" s="295"/>
      <c r="B750" s="295"/>
      <c r="C750" s="296"/>
      <c r="D750" s="295"/>
      <c r="E750" s="297"/>
      <c r="F750" s="298"/>
      <c r="G750" s="299"/>
      <c r="I750" s="288"/>
      <c r="J750" s="289"/>
      <c r="K750" s="290"/>
    </row>
    <row r="751">
      <c r="A751" s="295"/>
      <c r="B751" s="295"/>
      <c r="C751" s="296"/>
      <c r="D751" s="295"/>
      <c r="E751" s="297"/>
      <c r="F751" s="298"/>
      <c r="G751" s="299"/>
      <c r="I751" s="288"/>
      <c r="J751" s="289"/>
      <c r="K751" s="290"/>
    </row>
    <row r="752">
      <c r="A752" s="295"/>
      <c r="B752" s="295"/>
      <c r="C752" s="296"/>
      <c r="D752" s="295"/>
      <c r="E752" s="297"/>
      <c r="F752" s="298"/>
      <c r="G752" s="299"/>
      <c r="I752" s="288"/>
      <c r="J752" s="289"/>
      <c r="K752" s="290"/>
    </row>
    <row r="753">
      <c r="A753" s="295"/>
      <c r="B753" s="295"/>
      <c r="C753" s="296"/>
      <c r="D753" s="295"/>
      <c r="E753" s="297"/>
      <c r="F753" s="298"/>
      <c r="G753" s="299"/>
      <c r="I753" s="288"/>
      <c r="J753" s="289"/>
      <c r="K753" s="290"/>
    </row>
    <row r="754">
      <c r="A754" s="295"/>
      <c r="B754" s="295"/>
      <c r="C754" s="296"/>
      <c r="D754" s="295"/>
      <c r="E754" s="297"/>
      <c r="F754" s="298"/>
      <c r="G754" s="299"/>
      <c r="I754" s="288"/>
      <c r="J754" s="289"/>
      <c r="K754" s="290"/>
    </row>
    <row r="755">
      <c r="A755" s="295"/>
      <c r="B755" s="295"/>
      <c r="C755" s="296"/>
      <c r="D755" s="295"/>
      <c r="E755" s="297"/>
      <c r="F755" s="298"/>
      <c r="G755" s="299"/>
      <c r="I755" s="288"/>
      <c r="J755" s="289"/>
      <c r="K755" s="290"/>
    </row>
    <row r="756">
      <c r="A756" s="295"/>
      <c r="B756" s="295"/>
      <c r="C756" s="296"/>
      <c r="D756" s="295"/>
      <c r="E756" s="297"/>
      <c r="F756" s="298"/>
      <c r="G756" s="299"/>
      <c r="I756" s="288"/>
      <c r="J756" s="289"/>
      <c r="K756" s="290"/>
    </row>
    <row r="757">
      <c r="A757" s="295"/>
      <c r="B757" s="295"/>
      <c r="C757" s="296"/>
      <c r="D757" s="295"/>
      <c r="E757" s="297"/>
      <c r="F757" s="298"/>
      <c r="G757" s="299"/>
      <c r="I757" s="288"/>
      <c r="J757" s="289"/>
      <c r="K757" s="290"/>
    </row>
    <row r="758">
      <c r="A758" s="295"/>
      <c r="B758" s="295"/>
      <c r="C758" s="296"/>
      <c r="D758" s="295"/>
      <c r="E758" s="297"/>
      <c r="F758" s="298"/>
      <c r="G758" s="299"/>
      <c r="I758" s="288"/>
      <c r="J758" s="289"/>
      <c r="K758" s="290"/>
    </row>
    <row r="759">
      <c r="A759" s="295"/>
      <c r="B759" s="295"/>
      <c r="C759" s="296"/>
      <c r="D759" s="295"/>
      <c r="E759" s="297"/>
      <c r="F759" s="298"/>
      <c r="G759" s="299"/>
      <c r="I759" s="288"/>
      <c r="J759" s="289"/>
      <c r="K759" s="290"/>
    </row>
    <row r="760">
      <c r="A760" s="295"/>
      <c r="B760" s="295"/>
      <c r="C760" s="296"/>
      <c r="D760" s="295"/>
      <c r="E760" s="297"/>
      <c r="F760" s="298"/>
      <c r="G760" s="299"/>
      <c r="I760" s="288"/>
      <c r="J760" s="289"/>
      <c r="K760" s="290"/>
    </row>
    <row r="761">
      <c r="A761" s="295"/>
      <c r="B761" s="295"/>
      <c r="C761" s="296"/>
      <c r="D761" s="295"/>
      <c r="E761" s="297"/>
      <c r="F761" s="298"/>
      <c r="G761" s="299"/>
      <c r="I761" s="288"/>
      <c r="J761" s="289"/>
      <c r="K761" s="290"/>
    </row>
    <row r="762">
      <c r="A762" s="295"/>
      <c r="B762" s="295"/>
      <c r="C762" s="296"/>
      <c r="D762" s="295"/>
      <c r="E762" s="297"/>
      <c r="F762" s="298"/>
      <c r="G762" s="299"/>
      <c r="I762" s="288"/>
      <c r="J762" s="289"/>
      <c r="K762" s="290"/>
    </row>
    <row r="763">
      <c r="A763" s="295"/>
      <c r="B763" s="295"/>
      <c r="C763" s="296"/>
      <c r="D763" s="295"/>
      <c r="E763" s="297"/>
      <c r="F763" s="298"/>
      <c r="G763" s="299"/>
      <c r="I763" s="288"/>
      <c r="J763" s="289"/>
      <c r="K763" s="290"/>
    </row>
    <row r="764">
      <c r="A764" s="295"/>
      <c r="B764" s="295"/>
      <c r="C764" s="296"/>
      <c r="D764" s="295"/>
      <c r="E764" s="297"/>
      <c r="F764" s="298"/>
      <c r="G764" s="299"/>
      <c r="I764" s="288"/>
      <c r="J764" s="289"/>
      <c r="K764" s="290"/>
    </row>
    <row r="765">
      <c r="A765" s="295"/>
      <c r="B765" s="295"/>
      <c r="C765" s="296"/>
      <c r="D765" s="295"/>
      <c r="E765" s="297"/>
      <c r="F765" s="298"/>
      <c r="G765" s="299"/>
      <c r="I765" s="288"/>
      <c r="J765" s="289"/>
      <c r="K765" s="290"/>
    </row>
    <row r="766">
      <c r="A766" s="295"/>
      <c r="B766" s="295"/>
      <c r="C766" s="296"/>
      <c r="D766" s="295"/>
      <c r="E766" s="297"/>
      <c r="F766" s="298"/>
      <c r="G766" s="299"/>
      <c r="I766" s="288"/>
      <c r="J766" s="289"/>
      <c r="K766" s="290"/>
    </row>
    <row r="767">
      <c r="A767" s="295"/>
      <c r="B767" s="295"/>
      <c r="C767" s="296"/>
      <c r="D767" s="295"/>
      <c r="E767" s="297"/>
      <c r="F767" s="298"/>
      <c r="G767" s="299"/>
      <c r="I767" s="288"/>
      <c r="J767" s="289"/>
      <c r="K767" s="290"/>
    </row>
    <row r="768">
      <c r="A768" s="295"/>
      <c r="B768" s="295"/>
      <c r="C768" s="296"/>
      <c r="D768" s="295"/>
      <c r="E768" s="297"/>
      <c r="F768" s="298"/>
      <c r="G768" s="299"/>
      <c r="I768" s="288"/>
      <c r="J768" s="289"/>
      <c r="K768" s="290"/>
    </row>
    <row r="769">
      <c r="A769" s="295"/>
      <c r="B769" s="295"/>
      <c r="C769" s="296"/>
      <c r="D769" s="295"/>
      <c r="E769" s="297"/>
      <c r="F769" s="298"/>
      <c r="G769" s="299"/>
      <c r="I769" s="288"/>
      <c r="J769" s="289"/>
      <c r="K769" s="290"/>
    </row>
    <row r="770">
      <c r="A770" s="295"/>
      <c r="B770" s="295"/>
      <c r="C770" s="296"/>
      <c r="D770" s="295"/>
      <c r="E770" s="297"/>
      <c r="F770" s="298"/>
      <c r="G770" s="299"/>
      <c r="I770" s="288"/>
      <c r="J770" s="289"/>
      <c r="K770" s="290"/>
    </row>
    <row r="771">
      <c r="A771" s="295"/>
      <c r="B771" s="295"/>
      <c r="C771" s="296"/>
      <c r="D771" s="295"/>
      <c r="E771" s="297"/>
      <c r="F771" s="298"/>
      <c r="G771" s="299"/>
      <c r="I771" s="288"/>
      <c r="J771" s="289"/>
      <c r="K771" s="290"/>
    </row>
    <row r="772">
      <c r="A772" s="295"/>
      <c r="B772" s="295"/>
      <c r="C772" s="296"/>
      <c r="D772" s="295"/>
      <c r="E772" s="297"/>
      <c r="F772" s="298"/>
      <c r="G772" s="299"/>
      <c r="I772" s="288"/>
      <c r="J772" s="289"/>
      <c r="K772" s="290"/>
    </row>
    <row r="773">
      <c r="A773" s="295"/>
      <c r="B773" s="295"/>
      <c r="C773" s="296"/>
      <c r="D773" s="295"/>
      <c r="E773" s="297"/>
      <c r="F773" s="298"/>
      <c r="G773" s="299"/>
      <c r="I773" s="288"/>
      <c r="J773" s="289"/>
      <c r="K773" s="290"/>
    </row>
    <row r="774">
      <c r="A774" s="295"/>
      <c r="B774" s="295"/>
      <c r="C774" s="296"/>
      <c r="D774" s="295"/>
      <c r="E774" s="297"/>
      <c r="F774" s="298"/>
      <c r="G774" s="299"/>
      <c r="I774" s="288"/>
      <c r="J774" s="289"/>
      <c r="K774" s="290"/>
    </row>
    <row r="775">
      <c r="A775" s="295"/>
      <c r="B775" s="295"/>
      <c r="C775" s="296"/>
      <c r="D775" s="295"/>
      <c r="E775" s="297"/>
      <c r="F775" s="298"/>
      <c r="G775" s="299"/>
      <c r="I775" s="288"/>
      <c r="J775" s="289"/>
      <c r="K775" s="290"/>
    </row>
    <row r="776">
      <c r="A776" s="295"/>
      <c r="B776" s="295"/>
      <c r="C776" s="296"/>
      <c r="D776" s="295"/>
      <c r="E776" s="297"/>
      <c r="F776" s="298"/>
      <c r="G776" s="299"/>
      <c r="I776" s="288"/>
      <c r="J776" s="289"/>
      <c r="K776" s="290"/>
    </row>
    <row r="777">
      <c r="A777" s="295"/>
      <c r="B777" s="295"/>
      <c r="C777" s="296"/>
      <c r="D777" s="295"/>
      <c r="E777" s="297"/>
      <c r="F777" s="298"/>
      <c r="G777" s="299"/>
      <c r="I777" s="288"/>
      <c r="J777" s="289"/>
      <c r="K777" s="290"/>
    </row>
    <row r="778">
      <c r="A778" s="295"/>
      <c r="B778" s="295"/>
      <c r="C778" s="296"/>
      <c r="D778" s="295"/>
      <c r="E778" s="297"/>
      <c r="F778" s="298"/>
      <c r="G778" s="299"/>
      <c r="I778" s="288"/>
      <c r="J778" s="289"/>
      <c r="K778" s="290"/>
    </row>
    <row r="779">
      <c r="A779" s="295"/>
      <c r="B779" s="295"/>
      <c r="C779" s="296"/>
      <c r="D779" s="295"/>
      <c r="E779" s="297"/>
      <c r="F779" s="298"/>
      <c r="G779" s="299"/>
      <c r="I779" s="288"/>
      <c r="J779" s="289"/>
      <c r="K779" s="290"/>
    </row>
    <row r="780">
      <c r="A780" s="295"/>
      <c r="B780" s="295"/>
      <c r="C780" s="296"/>
      <c r="D780" s="295"/>
      <c r="E780" s="297"/>
      <c r="F780" s="298"/>
      <c r="G780" s="299"/>
      <c r="I780" s="288"/>
      <c r="J780" s="289"/>
      <c r="K780" s="290"/>
    </row>
    <row r="781">
      <c r="A781" s="295"/>
      <c r="B781" s="295"/>
      <c r="C781" s="296"/>
      <c r="D781" s="295"/>
      <c r="E781" s="297"/>
      <c r="F781" s="298"/>
      <c r="G781" s="299"/>
      <c r="I781" s="288"/>
      <c r="J781" s="289"/>
      <c r="K781" s="290"/>
    </row>
    <row r="782">
      <c r="A782" s="295"/>
      <c r="B782" s="295"/>
      <c r="C782" s="296"/>
      <c r="D782" s="295"/>
      <c r="E782" s="297"/>
      <c r="F782" s="298"/>
      <c r="G782" s="299"/>
      <c r="I782" s="288"/>
      <c r="J782" s="289"/>
      <c r="K782" s="290"/>
    </row>
    <row r="783">
      <c r="A783" s="295"/>
      <c r="B783" s="295"/>
      <c r="C783" s="296"/>
      <c r="D783" s="295"/>
      <c r="E783" s="297"/>
      <c r="F783" s="298"/>
      <c r="G783" s="299"/>
      <c r="I783" s="288"/>
      <c r="J783" s="289"/>
      <c r="K783" s="290"/>
    </row>
    <row r="784">
      <c r="A784" s="295"/>
      <c r="B784" s="295"/>
      <c r="C784" s="296"/>
      <c r="D784" s="295"/>
      <c r="E784" s="297"/>
      <c r="F784" s="298"/>
      <c r="G784" s="299"/>
      <c r="I784" s="288"/>
      <c r="J784" s="289"/>
      <c r="K784" s="290"/>
    </row>
    <row r="785">
      <c r="A785" s="295"/>
      <c r="B785" s="295"/>
      <c r="C785" s="296"/>
      <c r="D785" s="295"/>
      <c r="E785" s="297"/>
      <c r="F785" s="298"/>
      <c r="G785" s="299"/>
      <c r="I785" s="288"/>
      <c r="J785" s="289"/>
      <c r="K785" s="290"/>
    </row>
    <row r="786">
      <c r="A786" s="295"/>
      <c r="B786" s="295"/>
      <c r="C786" s="296"/>
      <c r="D786" s="295"/>
      <c r="E786" s="297"/>
      <c r="F786" s="298"/>
      <c r="G786" s="299"/>
      <c r="I786" s="288"/>
      <c r="J786" s="289"/>
      <c r="K786" s="290"/>
    </row>
    <row r="787">
      <c r="A787" s="295"/>
      <c r="B787" s="295"/>
      <c r="C787" s="296"/>
      <c r="D787" s="295"/>
      <c r="E787" s="297"/>
      <c r="F787" s="298"/>
      <c r="G787" s="299"/>
      <c r="I787" s="288"/>
      <c r="J787" s="289"/>
      <c r="K787" s="290"/>
    </row>
    <row r="788">
      <c r="A788" s="295"/>
      <c r="B788" s="295"/>
      <c r="C788" s="296"/>
      <c r="D788" s="295"/>
      <c r="E788" s="297"/>
      <c r="F788" s="298"/>
      <c r="G788" s="299"/>
      <c r="I788" s="288"/>
      <c r="J788" s="289"/>
      <c r="K788" s="290"/>
    </row>
    <row r="789">
      <c r="A789" s="295"/>
      <c r="B789" s="295"/>
      <c r="C789" s="296"/>
      <c r="D789" s="295"/>
      <c r="E789" s="297"/>
      <c r="F789" s="298"/>
      <c r="G789" s="299"/>
      <c r="I789" s="288"/>
      <c r="J789" s="289"/>
      <c r="K789" s="290"/>
    </row>
    <row r="790">
      <c r="A790" s="295"/>
      <c r="B790" s="295"/>
      <c r="C790" s="296"/>
      <c r="D790" s="295"/>
      <c r="E790" s="297"/>
      <c r="F790" s="298"/>
      <c r="G790" s="299"/>
      <c r="I790" s="288"/>
      <c r="J790" s="289"/>
      <c r="K790" s="290"/>
    </row>
    <row r="791">
      <c r="A791" s="295"/>
      <c r="B791" s="295"/>
      <c r="C791" s="296"/>
      <c r="D791" s="295"/>
      <c r="E791" s="297"/>
      <c r="F791" s="298"/>
      <c r="G791" s="299"/>
      <c r="I791" s="288"/>
      <c r="J791" s="289"/>
      <c r="K791" s="290"/>
    </row>
    <row r="792">
      <c r="A792" s="295"/>
      <c r="B792" s="295"/>
      <c r="C792" s="296"/>
      <c r="D792" s="295"/>
      <c r="E792" s="297"/>
      <c r="F792" s="298"/>
      <c r="G792" s="299"/>
      <c r="I792" s="288"/>
      <c r="J792" s="289"/>
      <c r="K792" s="290"/>
    </row>
    <row r="793">
      <c r="A793" s="295"/>
      <c r="B793" s="295"/>
      <c r="C793" s="296"/>
      <c r="D793" s="295"/>
      <c r="E793" s="297"/>
      <c r="F793" s="298"/>
      <c r="G793" s="299"/>
      <c r="I793" s="288"/>
      <c r="J793" s="289"/>
      <c r="K793" s="290"/>
    </row>
    <row r="794">
      <c r="A794" s="295"/>
      <c r="B794" s="295"/>
      <c r="C794" s="296"/>
      <c r="D794" s="295"/>
      <c r="E794" s="297"/>
      <c r="F794" s="298"/>
      <c r="G794" s="299"/>
      <c r="I794" s="288"/>
      <c r="J794" s="289"/>
      <c r="K794" s="290"/>
    </row>
    <row r="795">
      <c r="A795" s="295"/>
      <c r="B795" s="295"/>
      <c r="C795" s="296"/>
      <c r="D795" s="295"/>
      <c r="E795" s="297"/>
      <c r="F795" s="298"/>
      <c r="G795" s="299"/>
      <c r="I795" s="288"/>
      <c r="J795" s="289"/>
      <c r="K795" s="290"/>
    </row>
    <row r="796">
      <c r="A796" s="295"/>
      <c r="B796" s="295"/>
      <c r="C796" s="296"/>
      <c r="D796" s="295"/>
      <c r="E796" s="297"/>
      <c r="F796" s="298"/>
      <c r="G796" s="299"/>
      <c r="I796" s="288"/>
      <c r="J796" s="289"/>
      <c r="K796" s="290"/>
    </row>
    <row r="797">
      <c r="A797" s="295"/>
      <c r="B797" s="295"/>
      <c r="C797" s="296"/>
      <c r="D797" s="295"/>
      <c r="E797" s="297"/>
      <c r="F797" s="298"/>
      <c r="G797" s="299"/>
      <c r="I797" s="288"/>
      <c r="J797" s="289"/>
      <c r="K797" s="290"/>
    </row>
    <row r="798">
      <c r="A798" s="295"/>
      <c r="B798" s="295"/>
      <c r="C798" s="296"/>
      <c r="D798" s="295"/>
      <c r="E798" s="297"/>
      <c r="F798" s="298"/>
      <c r="G798" s="299"/>
      <c r="I798" s="288"/>
      <c r="J798" s="289"/>
      <c r="K798" s="290"/>
    </row>
    <row r="799">
      <c r="A799" s="295"/>
      <c r="B799" s="295"/>
      <c r="C799" s="296"/>
      <c r="D799" s="295"/>
      <c r="E799" s="297"/>
      <c r="F799" s="298"/>
      <c r="G799" s="299"/>
      <c r="I799" s="288"/>
      <c r="J799" s="289"/>
      <c r="K799" s="290"/>
    </row>
    <row r="800">
      <c r="A800" s="295"/>
      <c r="B800" s="295"/>
      <c r="C800" s="296"/>
      <c r="D800" s="295"/>
      <c r="E800" s="297"/>
      <c r="F800" s="298"/>
      <c r="G800" s="299"/>
      <c r="I800" s="288"/>
      <c r="J800" s="289"/>
      <c r="K800" s="290"/>
    </row>
    <row r="801">
      <c r="A801" s="295"/>
      <c r="B801" s="295"/>
      <c r="C801" s="296"/>
      <c r="D801" s="295"/>
      <c r="E801" s="297"/>
      <c r="F801" s="298"/>
      <c r="G801" s="299"/>
      <c r="I801" s="288"/>
      <c r="J801" s="289"/>
      <c r="K801" s="290"/>
    </row>
    <row r="802">
      <c r="A802" s="295"/>
      <c r="B802" s="295"/>
      <c r="C802" s="296"/>
      <c r="D802" s="295"/>
      <c r="E802" s="297"/>
      <c r="F802" s="298"/>
      <c r="G802" s="299"/>
      <c r="I802" s="288"/>
      <c r="J802" s="289"/>
      <c r="K802" s="290"/>
    </row>
    <row r="803">
      <c r="A803" s="295"/>
      <c r="B803" s="295"/>
      <c r="C803" s="296"/>
      <c r="D803" s="295"/>
      <c r="E803" s="297"/>
      <c r="F803" s="298"/>
      <c r="G803" s="299"/>
      <c r="I803" s="288"/>
      <c r="J803" s="289"/>
      <c r="K803" s="290"/>
    </row>
    <row r="804">
      <c r="A804" s="295"/>
      <c r="B804" s="295"/>
      <c r="C804" s="296"/>
      <c r="D804" s="295"/>
      <c r="E804" s="297"/>
      <c r="F804" s="298"/>
      <c r="G804" s="299"/>
      <c r="I804" s="288"/>
      <c r="J804" s="289"/>
      <c r="K804" s="290"/>
    </row>
    <row r="805">
      <c r="A805" s="295"/>
      <c r="B805" s="295"/>
      <c r="C805" s="296"/>
      <c r="D805" s="295"/>
      <c r="E805" s="297"/>
      <c r="F805" s="298"/>
      <c r="G805" s="299"/>
      <c r="I805" s="288"/>
      <c r="J805" s="289"/>
      <c r="K805" s="290"/>
    </row>
    <row r="806">
      <c r="A806" s="295"/>
      <c r="B806" s="295"/>
      <c r="C806" s="296"/>
      <c r="D806" s="295"/>
      <c r="E806" s="297"/>
      <c r="F806" s="298"/>
      <c r="G806" s="299"/>
      <c r="I806" s="288"/>
      <c r="J806" s="289"/>
      <c r="K806" s="290"/>
    </row>
    <row r="807">
      <c r="A807" s="295"/>
      <c r="B807" s="295"/>
      <c r="C807" s="296"/>
      <c r="D807" s="295"/>
      <c r="E807" s="297"/>
      <c r="F807" s="298"/>
      <c r="G807" s="299"/>
      <c r="I807" s="288"/>
      <c r="J807" s="289"/>
      <c r="K807" s="290"/>
    </row>
    <row r="808">
      <c r="A808" s="295"/>
      <c r="B808" s="295"/>
      <c r="C808" s="296"/>
      <c r="D808" s="295"/>
      <c r="E808" s="297"/>
      <c r="F808" s="298"/>
      <c r="G808" s="299"/>
      <c r="I808" s="288"/>
      <c r="J808" s="289"/>
      <c r="K808" s="290"/>
    </row>
    <row r="809">
      <c r="A809" s="295"/>
      <c r="B809" s="295"/>
      <c r="C809" s="296"/>
      <c r="D809" s="295"/>
      <c r="E809" s="297"/>
      <c r="F809" s="298"/>
      <c r="G809" s="299"/>
      <c r="I809" s="288"/>
      <c r="J809" s="289"/>
      <c r="K809" s="290"/>
    </row>
    <row r="810">
      <c r="A810" s="295"/>
      <c r="B810" s="295"/>
      <c r="C810" s="296"/>
      <c r="D810" s="295"/>
      <c r="E810" s="297"/>
      <c r="F810" s="298"/>
      <c r="G810" s="299"/>
      <c r="I810" s="288"/>
      <c r="J810" s="289"/>
      <c r="K810" s="290"/>
    </row>
    <row r="811">
      <c r="A811" s="295"/>
      <c r="B811" s="295"/>
      <c r="C811" s="296"/>
      <c r="D811" s="295"/>
      <c r="E811" s="297"/>
      <c r="F811" s="298"/>
      <c r="G811" s="299"/>
      <c r="I811" s="288"/>
      <c r="J811" s="289"/>
      <c r="K811" s="290"/>
    </row>
    <row r="812">
      <c r="A812" s="295"/>
      <c r="B812" s="295"/>
      <c r="C812" s="296"/>
      <c r="D812" s="295"/>
      <c r="E812" s="297"/>
      <c r="F812" s="298"/>
      <c r="G812" s="299"/>
      <c r="I812" s="288"/>
      <c r="J812" s="289"/>
      <c r="K812" s="290"/>
    </row>
    <row r="813">
      <c r="A813" s="295"/>
      <c r="B813" s="295"/>
      <c r="C813" s="296"/>
      <c r="D813" s="295"/>
      <c r="E813" s="297"/>
      <c r="F813" s="298"/>
      <c r="G813" s="299"/>
      <c r="I813" s="288"/>
      <c r="J813" s="289"/>
      <c r="K813" s="290"/>
    </row>
    <row r="814">
      <c r="A814" s="295"/>
      <c r="B814" s="295"/>
      <c r="C814" s="296"/>
      <c r="D814" s="295"/>
      <c r="E814" s="297"/>
      <c r="F814" s="298"/>
      <c r="G814" s="299"/>
      <c r="I814" s="288"/>
      <c r="J814" s="289"/>
      <c r="K814" s="290"/>
    </row>
    <row r="815">
      <c r="A815" s="295"/>
      <c r="B815" s="295"/>
      <c r="C815" s="296"/>
      <c r="D815" s="295"/>
      <c r="E815" s="297"/>
      <c r="F815" s="298"/>
      <c r="G815" s="299"/>
      <c r="I815" s="288"/>
      <c r="J815" s="289"/>
      <c r="K815" s="290"/>
    </row>
    <row r="816">
      <c r="A816" s="295"/>
      <c r="B816" s="295"/>
      <c r="C816" s="296"/>
      <c r="D816" s="295"/>
      <c r="E816" s="297"/>
      <c r="F816" s="298"/>
      <c r="G816" s="299"/>
      <c r="I816" s="288"/>
      <c r="J816" s="289"/>
      <c r="K816" s="290"/>
    </row>
    <row r="817">
      <c r="A817" s="295"/>
      <c r="B817" s="295"/>
      <c r="C817" s="296"/>
      <c r="D817" s="295"/>
      <c r="E817" s="297"/>
      <c r="F817" s="298"/>
      <c r="G817" s="299"/>
      <c r="I817" s="288"/>
      <c r="J817" s="289"/>
      <c r="K817" s="290"/>
    </row>
    <row r="818">
      <c r="A818" s="295"/>
      <c r="B818" s="295"/>
      <c r="C818" s="296"/>
      <c r="D818" s="295"/>
      <c r="E818" s="297"/>
      <c r="F818" s="298"/>
      <c r="G818" s="299"/>
      <c r="I818" s="288"/>
      <c r="J818" s="289"/>
      <c r="K818" s="290"/>
    </row>
    <row r="819">
      <c r="A819" s="295"/>
      <c r="B819" s="295"/>
      <c r="C819" s="296"/>
      <c r="D819" s="295"/>
      <c r="E819" s="297"/>
      <c r="F819" s="298"/>
      <c r="G819" s="299"/>
      <c r="I819" s="288"/>
      <c r="J819" s="289"/>
      <c r="K819" s="290"/>
    </row>
    <row r="820">
      <c r="A820" s="295"/>
      <c r="B820" s="295"/>
      <c r="C820" s="296"/>
      <c r="D820" s="295"/>
      <c r="E820" s="297"/>
      <c r="F820" s="298"/>
      <c r="G820" s="299"/>
      <c r="I820" s="288"/>
      <c r="J820" s="289"/>
      <c r="K820" s="290"/>
    </row>
    <row r="821">
      <c r="A821" s="295"/>
      <c r="B821" s="295"/>
      <c r="C821" s="296"/>
      <c r="D821" s="295"/>
      <c r="E821" s="297"/>
      <c r="F821" s="298"/>
      <c r="G821" s="299"/>
      <c r="I821" s="288"/>
      <c r="J821" s="289"/>
      <c r="K821" s="290"/>
    </row>
    <row r="822">
      <c r="A822" s="295"/>
      <c r="B822" s="295"/>
      <c r="C822" s="296"/>
      <c r="D822" s="295"/>
      <c r="E822" s="297"/>
      <c r="F822" s="298"/>
      <c r="G822" s="299"/>
      <c r="I822" s="288"/>
      <c r="J822" s="289"/>
      <c r="K822" s="290"/>
    </row>
    <row r="823">
      <c r="A823" s="295"/>
      <c r="B823" s="295"/>
      <c r="C823" s="296"/>
      <c r="D823" s="295"/>
      <c r="E823" s="297"/>
      <c r="F823" s="298"/>
      <c r="G823" s="299"/>
      <c r="I823" s="288"/>
      <c r="J823" s="289"/>
      <c r="K823" s="290"/>
    </row>
    <row r="824">
      <c r="A824" s="295"/>
      <c r="B824" s="295"/>
      <c r="C824" s="296"/>
      <c r="D824" s="295"/>
      <c r="E824" s="297"/>
      <c r="F824" s="298"/>
      <c r="G824" s="299"/>
      <c r="I824" s="288"/>
      <c r="J824" s="289"/>
      <c r="K824" s="290"/>
    </row>
    <row r="825">
      <c r="A825" s="295"/>
      <c r="B825" s="295"/>
      <c r="C825" s="296"/>
      <c r="D825" s="295"/>
      <c r="E825" s="297"/>
      <c r="F825" s="298"/>
      <c r="G825" s="299"/>
      <c r="I825" s="288"/>
      <c r="J825" s="289"/>
      <c r="K825" s="290"/>
    </row>
    <row r="826">
      <c r="A826" s="295"/>
      <c r="B826" s="295"/>
      <c r="C826" s="296"/>
      <c r="D826" s="295"/>
      <c r="E826" s="297"/>
      <c r="F826" s="298"/>
      <c r="G826" s="299"/>
      <c r="I826" s="288"/>
      <c r="J826" s="289"/>
      <c r="K826" s="290"/>
    </row>
    <row r="827">
      <c r="A827" s="295"/>
      <c r="B827" s="295"/>
      <c r="C827" s="296"/>
      <c r="D827" s="295"/>
      <c r="E827" s="297"/>
      <c r="F827" s="298"/>
      <c r="G827" s="299"/>
      <c r="I827" s="288"/>
      <c r="J827" s="289"/>
      <c r="K827" s="290"/>
    </row>
    <row r="828">
      <c r="A828" s="295"/>
      <c r="B828" s="295"/>
      <c r="C828" s="296"/>
      <c r="D828" s="295"/>
      <c r="E828" s="297"/>
      <c r="F828" s="298"/>
      <c r="G828" s="299"/>
      <c r="I828" s="288"/>
      <c r="J828" s="289"/>
      <c r="K828" s="290"/>
    </row>
    <row r="829">
      <c r="A829" s="295"/>
      <c r="B829" s="295"/>
      <c r="C829" s="296"/>
      <c r="D829" s="295"/>
      <c r="E829" s="297"/>
      <c r="F829" s="298"/>
      <c r="G829" s="299"/>
      <c r="I829" s="288"/>
      <c r="J829" s="289"/>
      <c r="K829" s="290"/>
    </row>
    <row r="830">
      <c r="A830" s="295"/>
      <c r="B830" s="295"/>
      <c r="C830" s="296"/>
      <c r="D830" s="295"/>
      <c r="E830" s="297"/>
      <c r="F830" s="298"/>
      <c r="G830" s="299"/>
      <c r="I830" s="288"/>
      <c r="J830" s="289"/>
      <c r="K830" s="290"/>
    </row>
    <row r="831">
      <c r="A831" s="295"/>
      <c r="B831" s="295"/>
      <c r="C831" s="296"/>
      <c r="D831" s="295"/>
      <c r="E831" s="297"/>
      <c r="F831" s="298"/>
      <c r="G831" s="299"/>
      <c r="I831" s="288"/>
      <c r="J831" s="289"/>
      <c r="K831" s="290"/>
    </row>
    <row r="832">
      <c r="A832" s="295"/>
      <c r="B832" s="295"/>
      <c r="C832" s="296"/>
      <c r="D832" s="295"/>
      <c r="E832" s="297"/>
      <c r="F832" s="298"/>
      <c r="G832" s="299"/>
      <c r="I832" s="288"/>
      <c r="J832" s="289"/>
      <c r="K832" s="290"/>
    </row>
    <row r="833">
      <c r="A833" s="295"/>
      <c r="B833" s="295"/>
      <c r="C833" s="296"/>
      <c r="D833" s="295"/>
      <c r="E833" s="297"/>
      <c r="F833" s="298"/>
      <c r="G833" s="299"/>
      <c r="I833" s="288"/>
      <c r="J833" s="289"/>
      <c r="K833" s="290"/>
    </row>
    <row r="834">
      <c r="A834" s="295"/>
      <c r="B834" s="295"/>
      <c r="C834" s="296"/>
      <c r="D834" s="295"/>
      <c r="E834" s="297"/>
      <c r="F834" s="298"/>
      <c r="G834" s="299"/>
      <c r="I834" s="288"/>
      <c r="J834" s="289"/>
      <c r="K834" s="290"/>
    </row>
    <row r="835">
      <c r="A835" s="295"/>
      <c r="B835" s="295"/>
      <c r="C835" s="296"/>
      <c r="D835" s="295"/>
      <c r="E835" s="297"/>
      <c r="F835" s="298"/>
      <c r="G835" s="299"/>
      <c r="I835" s="288"/>
      <c r="J835" s="289"/>
      <c r="K835" s="290"/>
    </row>
    <row r="836">
      <c r="A836" s="295"/>
      <c r="B836" s="295"/>
      <c r="C836" s="296"/>
      <c r="D836" s="295"/>
      <c r="E836" s="297"/>
      <c r="F836" s="298"/>
      <c r="G836" s="299"/>
      <c r="I836" s="288"/>
      <c r="J836" s="289"/>
      <c r="K836" s="290"/>
    </row>
    <row r="837">
      <c r="A837" s="295"/>
      <c r="B837" s="295"/>
      <c r="C837" s="296"/>
      <c r="D837" s="295"/>
      <c r="E837" s="297"/>
      <c r="F837" s="298"/>
      <c r="G837" s="299"/>
      <c r="I837" s="288"/>
      <c r="J837" s="289"/>
      <c r="K837" s="290"/>
    </row>
    <row r="838">
      <c r="A838" s="295"/>
      <c r="B838" s="295"/>
      <c r="C838" s="296"/>
      <c r="D838" s="295"/>
      <c r="E838" s="297"/>
      <c r="F838" s="298"/>
      <c r="G838" s="299"/>
      <c r="I838" s="288"/>
      <c r="J838" s="289"/>
      <c r="K838" s="290"/>
    </row>
    <row r="839">
      <c r="A839" s="295"/>
      <c r="B839" s="295"/>
      <c r="C839" s="296"/>
      <c r="D839" s="295"/>
      <c r="E839" s="297"/>
      <c r="F839" s="298"/>
      <c r="G839" s="299"/>
      <c r="I839" s="288"/>
      <c r="J839" s="289"/>
      <c r="K839" s="290"/>
    </row>
    <row r="840">
      <c r="A840" s="295"/>
      <c r="B840" s="295"/>
      <c r="C840" s="296"/>
      <c r="D840" s="295"/>
      <c r="E840" s="297"/>
      <c r="F840" s="298"/>
      <c r="G840" s="299"/>
      <c r="I840" s="288"/>
      <c r="J840" s="289"/>
      <c r="K840" s="290"/>
    </row>
    <row r="841">
      <c r="A841" s="295"/>
      <c r="B841" s="295"/>
      <c r="C841" s="296"/>
      <c r="D841" s="295"/>
      <c r="E841" s="297"/>
      <c r="F841" s="298"/>
      <c r="G841" s="299"/>
      <c r="I841" s="288"/>
      <c r="J841" s="289"/>
      <c r="K841" s="290"/>
    </row>
    <row r="842">
      <c r="A842" s="295"/>
      <c r="B842" s="295"/>
      <c r="C842" s="296"/>
      <c r="D842" s="295"/>
      <c r="E842" s="297"/>
      <c r="F842" s="298"/>
      <c r="G842" s="299"/>
      <c r="I842" s="288"/>
      <c r="J842" s="289"/>
      <c r="K842" s="290"/>
    </row>
    <row r="843">
      <c r="A843" s="295"/>
      <c r="B843" s="295"/>
      <c r="C843" s="296"/>
      <c r="D843" s="295"/>
      <c r="E843" s="297"/>
      <c r="F843" s="298"/>
      <c r="G843" s="299"/>
      <c r="I843" s="288"/>
      <c r="J843" s="289"/>
      <c r="K843" s="290"/>
    </row>
    <row r="844">
      <c r="A844" s="295"/>
      <c r="B844" s="295"/>
      <c r="C844" s="296"/>
      <c r="D844" s="295"/>
      <c r="E844" s="297"/>
      <c r="F844" s="298"/>
      <c r="G844" s="299"/>
      <c r="I844" s="288"/>
      <c r="J844" s="289"/>
      <c r="K844" s="290"/>
    </row>
    <row r="845">
      <c r="A845" s="295"/>
      <c r="B845" s="295"/>
      <c r="C845" s="296"/>
      <c r="D845" s="295"/>
      <c r="E845" s="297"/>
      <c r="F845" s="298"/>
      <c r="G845" s="299"/>
      <c r="I845" s="288"/>
      <c r="J845" s="289"/>
      <c r="K845" s="290"/>
    </row>
    <row r="846">
      <c r="A846" s="295"/>
      <c r="B846" s="295"/>
      <c r="C846" s="296"/>
      <c r="D846" s="295"/>
      <c r="E846" s="297"/>
      <c r="F846" s="298"/>
      <c r="G846" s="299"/>
      <c r="I846" s="288"/>
      <c r="J846" s="289"/>
      <c r="K846" s="290"/>
    </row>
    <row r="847">
      <c r="A847" s="295"/>
      <c r="B847" s="295"/>
      <c r="C847" s="296"/>
      <c r="D847" s="295"/>
      <c r="E847" s="297"/>
      <c r="F847" s="298"/>
      <c r="G847" s="299"/>
      <c r="I847" s="288"/>
      <c r="J847" s="289"/>
      <c r="K847" s="290"/>
    </row>
    <row r="848">
      <c r="A848" s="295"/>
      <c r="B848" s="295"/>
      <c r="C848" s="296"/>
      <c r="D848" s="295"/>
      <c r="E848" s="297"/>
      <c r="F848" s="298"/>
      <c r="G848" s="299"/>
      <c r="I848" s="288"/>
      <c r="J848" s="289"/>
      <c r="K848" s="290"/>
    </row>
    <row r="849">
      <c r="A849" s="295"/>
      <c r="B849" s="295"/>
      <c r="C849" s="296"/>
      <c r="D849" s="295"/>
      <c r="E849" s="297"/>
      <c r="F849" s="298"/>
      <c r="G849" s="299"/>
      <c r="I849" s="288"/>
      <c r="J849" s="289"/>
      <c r="K849" s="290"/>
    </row>
    <row r="850">
      <c r="A850" s="295"/>
      <c r="B850" s="295"/>
      <c r="C850" s="296"/>
      <c r="D850" s="295"/>
      <c r="E850" s="297"/>
      <c r="F850" s="298"/>
      <c r="G850" s="299"/>
      <c r="I850" s="288"/>
      <c r="J850" s="289"/>
      <c r="K850" s="290"/>
    </row>
    <row r="851">
      <c r="A851" s="295"/>
      <c r="B851" s="295"/>
      <c r="C851" s="296"/>
      <c r="D851" s="295"/>
      <c r="E851" s="297"/>
      <c r="F851" s="298"/>
      <c r="G851" s="299"/>
      <c r="I851" s="288"/>
      <c r="J851" s="289"/>
      <c r="K851" s="290"/>
    </row>
    <row r="852">
      <c r="A852" s="295"/>
      <c r="B852" s="295"/>
      <c r="C852" s="296"/>
      <c r="D852" s="295"/>
      <c r="E852" s="297"/>
      <c r="F852" s="298"/>
      <c r="G852" s="299"/>
      <c r="I852" s="288"/>
      <c r="J852" s="289"/>
      <c r="K852" s="290"/>
    </row>
    <row r="853">
      <c r="A853" s="295"/>
      <c r="B853" s="295"/>
      <c r="C853" s="296"/>
      <c r="D853" s="295"/>
      <c r="E853" s="297"/>
      <c r="F853" s="298"/>
      <c r="G853" s="299"/>
      <c r="I853" s="288"/>
      <c r="J853" s="289"/>
      <c r="K853" s="290"/>
    </row>
    <row r="854">
      <c r="A854" s="295"/>
      <c r="B854" s="295"/>
      <c r="C854" s="296"/>
      <c r="D854" s="295"/>
      <c r="E854" s="297"/>
      <c r="F854" s="298"/>
      <c r="G854" s="299"/>
      <c r="I854" s="288"/>
      <c r="J854" s="289"/>
      <c r="K854" s="290"/>
    </row>
    <row r="855">
      <c r="A855" s="295"/>
      <c r="B855" s="295"/>
      <c r="C855" s="296"/>
      <c r="D855" s="295"/>
      <c r="E855" s="297"/>
      <c r="F855" s="298"/>
      <c r="G855" s="299"/>
      <c r="I855" s="288"/>
      <c r="J855" s="289"/>
      <c r="K855" s="290"/>
    </row>
    <row r="856">
      <c r="A856" s="295"/>
      <c r="B856" s="295"/>
      <c r="C856" s="296"/>
      <c r="D856" s="295"/>
      <c r="E856" s="297"/>
      <c r="F856" s="298"/>
      <c r="G856" s="299"/>
      <c r="I856" s="288"/>
      <c r="J856" s="289"/>
      <c r="K856" s="290"/>
    </row>
    <row r="857">
      <c r="A857" s="295"/>
      <c r="B857" s="295"/>
      <c r="C857" s="296"/>
      <c r="D857" s="295"/>
      <c r="E857" s="297"/>
      <c r="F857" s="298"/>
      <c r="G857" s="299"/>
      <c r="I857" s="288"/>
      <c r="J857" s="289"/>
      <c r="K857" s="290"/>
    </row>
    <row r="858">
      <c r="A858" s="295"/>
      <c r="B858" s="295"/>
      <c r="C858" s="296"/>
      <c r="D858" s="295"/>
      <c r="E858" s="297"/>
      <c r="F858" s="298"/>
      <c r="G858" s="299"/>
      <c r="I858" s="288"/>
      <c r="J858" s="289"/>
      <c r="K858" s="290"/>
    </row>
    <row r="859">
      <c r="A859" s="295"/>
      <c r="B859" s="295"/>
      <c r="C859" s="296"/>
      <c r="D859" s="295"/>
      <c r="E859" s="297"/>
      <c r="F859" s="298"/>
      <c r="G859" s="299"/>
      <c r="I859" s="288"/>
      <c r="J859" s="289"/>
      <c r="K859" s="290"/>
    </row>
    <row r="860">
      <c r="A860" s="295"/>
      <c r="B860" s="295"/>
      <c r="C860" s="296"/>
      <c r="D860" s="295"/>
      <c r="E860" s="297"/>
      <c r="F860" s="298"/>
      <c r="G860" s="299"/>
      <c r="I860" s="288"/>
      <c r="J860" s="289"/>
      <c r="K860" s="290"/>
    </row>
    <row r="861">
      <c r="A861" s="295"/>
      <c r="B861" s="295"/>
      <c r="C861" s="296"/>
      <c r="D861" s="295"/>
      <c r="E861" s="297"/>
      <c r="F861" s="298"/>
      <c r="G861" s="299"/>
      <c r="I861" s="288"/>
      <c r="J861" s="289"/>
      <c r="K861" s="290"/>
    </row>
    <row r="862">
      <c r="A862" s="295"/>
      <c r="B862" s="295"/>
      <c r="C862" s="296"/>
      <c r="D862" s="295"/>
      <c r="E862" s="297"/>
      <c r="F862" s="298"/>
      <c r="G862" s="299"/>
      <c r="I862" s="288"/>
      <c r="J862" s="289"/>
      <c r="K862" s="290"/>
    </row>
    <row r="863">
      <c r="A863" s="295"/>
      <c r="B863" s="295"/>
      <c r="C863" s="296"/>
      <c r="D863" s="295"/>
      <c r="E863" s="297"/>
      <c r="F863" s="298"/>
      <c r="G863" s="299"/>
      <c r="I863" s="288"/>
      <c r="J863" s="289"/>
      <c r="K863" s="290"/>
    </row>
    <row r="864">
      <c r="A864" s="295"/>
      <c r="B864" s="295"/>
      <c r="C864" s="296"/>
      <c r="D864" s="295"/>
      <c r="E864" s="297"/>
      <c r="F864" s="298"/>
      <c r="G864" s="299"/>
      <c r="I864" s="288"/>
      <c r="J864" s="289"/>
      <c r="K864" s="290"/>
    </row>
    <row r="865">
      <c r="A865" s="295"/>
      <c r="B865" s="295"/>
      <c r="C865" s="296"/>
      <c r="D865" s="295"/>
      <c r="E865" s="297"/>
      <c r="F865" s="298"/>
      <c r="G865" s="299"/>
      <c r="I865" s="288"/>
      <c r="J865" s="289"/>
      <c r="K865" s="290"/>
    </row>
    <row r="866">
      <c r="A866" s="295"/>
      <c r="B866" s="295"/>
      <c r="C866" s="296"/>
      <c r="D866" s="295"/>
      <c r="E866" s="297"/>
      <c r="F866" s="298"/>
      <c r="G866" s="299"/>
      <c r="I866" s="288"/>
      <c r="J866" s="289"/>
      <c r="K866" s="290"/>
    </row>
    <row r="867">
      <c r="A867" s="295"/>
      <c r="B867" s="295"/>
      <c r="C867" s="296"/>
      <c r="D867" s="295"/>
      <c r="E867" s="297"/>
      <c r="F867" s="298"/>
      <c r="G867" s="299"/>
      <c r="I867" s="288"/>
      <c r="J867" s="289"/>
      <c r="K867" s="290"/>
    </row>
    <row r="868">
      <c r="A868" s="295"/>
      <c r="B868" s="295"/>
      <c r="C868" s="296"/>
      <c r="D868" s="295"/>
      <c r="E868" s="297"/>
      <c r="F868" s="298"/>
      <c r="G868" s="299"/>
      <c r="I868" s="288"/>
      <c r="J868" s="289"/>
      <c r="K868" s="290"/>
    </row>
    <row r="869">
      <c r="A869" s="295"/>
      <c r="B869" s="295"/>
      <c r="C869" s="296"/>
      <c r="D869" s="295"/>
      <c r="E869" s="297"/>
      <c r="F869" s="298"/>
      <c r="G869" s="299"/>
      <c r="I869" s="288"/>
      <c r="J869" s="289"/>
      <c r="K869" s="290"/>
    </row>
    <row r="870">
      <c r="A870" s="295"/>
      <c r="B870" s="295"/>
      <c r="C870" s="296"/>
      <c r="D870" s="295"/>
      <c r="E870" s="297"/>
      <c r="F870" s="298"/>
      <c r="G870" s="299"/>
      <c r="I870" s="288"/>
      <c r="J870" s="289"/>
      <c r="K870" s="290"/>
    </row>
    <row r="871">
      <c r="A871" s="295"/>
      <c r="B871" s="295"/>
      <c r="C871" s="296"/>
      <c r="D871" s="295"/>
      <c r="E871" s="297"/>
      <c r="F871" s="298"/>
      <c r="G871" s="299"/>
      <c r="I871" s="288"/>
      <c r="J871" s="289"/>
      <c r="K871" s="290"/>
    </row>
    <row r="872">
      <c r="A872" s="295"/>
      <c r="B872" s="295"/>
      <c r="C872" s="296"/>
      <c r="D872" s="295"/>
      <c r="E872" s="297"/>
      <c r="F872" s="298"/>
      <c r="G872" s="299"/>
      <c r="I872" s="288"/>
      <c r="J872" s="289"/>
      <c r="K872" s="290"/>
    </row>
    <row r="873">
      <c r="A873" s="295"/>
      <c r="B873" s="295"/>
      <c r="C873" s="296"/>
      <c r="D873" s="295"/>
      <c r="E873" s="297"/>
      <c r="F873" s="298"/>
      <c r="G873" s="299"/>
      <c r="I873" s="288"/>
      <c r="J873" s="289"/>
      <c r="K873" s="290"/>
    </row>
    <row r="874">
      <c r="A874" s="295"/>
      <c r="B874" s="295"/>
      <c r="C874" s="296"/>
      <c r="D874" s="295"/>
      <c r="E874" s="297"/>
      <c r="F874" s="298"/>
      <c r="G874" s="299"/>
      <c r="I874" s="288"/>
      <c r="J874" s="289"/>
      <c r="K874" s="290"/>
    </row>
    <row r="875">
      <c r="A875" s="295"/>
      <c r="B875" s="295"/>
      <c r="C875" s="296"/>
      <c r="D875" s="295"/>
      <c r="E875" s="297"/>
      <c r="F875" s="298"/>
      <c r="G875" s="299"/>
      <c r="I875" s="288"/>
      <c r="J875" s="289"/>
      <c r="K875" s="290"/>
    </row>
    <row r="876">
      <c r="A876" s="295"/>
      <c r="B876" s="295"/>
      <c r="C876" s="296"/>
      <c r="D876" s="295"/>
      <c r="E876" s="297"/>
      <c r="F876" s="298"/>
      <c r="G876" s="299"/>
      <c r="I876" s="288"/>
      <c r="J876" s="289"/>
      <c r="K876" s="290"/>
    </row>
    <row r="877">
      <c r="A877" s="295"/>
      <c r="B877" s="295"/>
      <c r="C877" s="296"/>
      <c r="D877" s="295"/>
      <c r="E877" s="297"/>
      <c r="F877" s="298"/>
      <c r="G877" s="299"/>
      <c r="I877" s="288"/>
      <c r="J877" s="289"/>
      <c r="K877" s="290"/>
    </row>
    <row r="878">
      <c r="A878" s="295"/>
      <c r="B878" s="295"/>
      <c r="C878" s="296"/>
      <c r="D878" s="295"/>
      <c r="E878" s="297"/>
      <c r="F878" s="298"/>
      <c r="G878" s="299"/>
      <c r="I878" s="288"/>
      <c r="J878" s="289"/>
      <c r="K878" s="290"/>
    </row>
    <row r="879">
      <c r="A879" s="295"/>
      <c r="B879" s="295"/>
      <c r="C879" s="296"/>
      <c r="D879" s="295"/>
      <c r="E879" s="297"/>
      <c r="F879" s="298"/>
      <c r="G879" s="299"/>
      <c r="I879" s="288"/>
      <c r="J879" s="289"/>
      <c r="K879" s="290"/>
    </row>
    <row r="880">
      <c r="A880" s="295"/>
      <c r="B880" s="295"/>
      <c r="C880" s="296"/>
      <c r="D880" s="295"/>
      <c r="E880" s="297"/>
      <c r="F880" s="298"/>
      <c r="G880" s="299"/>
      <c r="I880" s="288"/>
      <c r="J880" s="289"/>
      <c r="K880" s="290"/>
    </row>
    <row r="881">
      <c r="A881" s="295"/>
      <c r="B881" s="295"/>
      <c r="C881" s="296"/>
      <c r="D881" s="295"/>
      <c r="E881" s="297"/>
      <c r="F881" s="298"/>
      <c r="G881" s="299"/>
      <c r="I881" s="288"/>
      <c r="J881" s="289"/>
      <c r="K881" s="290"/>
    </row>
    <row r="882">
      <c r="A882" s="295"/>
      <c r="B882" s="295"/>
      <c r="C882" s="296"/>
      <c r="D882" s="295"/>
      <c r="E882" s="297"/>
      <c r="F882" s="298"/>
      <c r="G882" s="299"/>
      <c r="I882" s="288"/>
      <c r="J882" s="289"/>
      <c r="K882" s="290"/>
    </row>
    <row r="883">
      <c r="A883" s="295"/>
      <c r="B883" s="295"/>
      <c r="C883" s="296"/>
      <c r="D883" s="295"/>
      <c r="E883" s="297"/>
      <c r="F883" s="298"/>
      <c r="G883" s="299"/>
      <c r="I883" s="288"/>
      <c r="J883" s="289"/>
      <c r="K883" s="290"/>
    </row>
    <row r="884">
      <c r="A884" s="295"/>
      <c r="B884" s="295"/>
      <c r="C884" s="296"/>
      <c r="D884" s="295"/>
      <c r="E884" s="297"/>
      <c r="F884" s="298"/>
      <c r="G884" s="299"/>
      <c r="I884" s="288"/>
      <c r="J884" s="289"/>
      <c r="K884" s="290"/>
    </row>
    <row r="885">
      <c r="A885" s="295"/>
      <c r="B885" s="295"/>
      <c r="C885" s="296"/>
      <c r="D885" s="295"/>
      <c r="E885" s="297"/>
      <c r="F885" s="298"/>
      <c r="G885" s="299"/>
      <c r="I885" s="288"/>
      <c r="J885" s="289"/>
      <c r="K885" s="290"/>
    </row>
    <row r="886">
      <c r="A886" s="295"/>
      <c r="B886" s="295"/>
      <c r="C886" s="296"/>
      <c r="D886" s="295"/>
      <c r="E886" s="297"/>
      <c r="F886" s="298"/>
      <c r="G886" s="299"/>
      <c r="I886" s="288"/>
      <c r="J886" s="289"/>
      <c r="K886" s="290"/>
    </row>
    <row r="887">
      <c r="A887" s="295"/>
      <c r="B887" s="295"/>
      <c r="C887" s="296"/>
      <c r="D887" s="295"/>
      <c r="E887" s="297"/>
      <c r="F887" s="298"/>
      <c r="G887" s="299"/>
      <c r="I887" s="288"/>
      <c r="J887" s="289"/>
      <c r="K887" s="290"/>
    </row>
    <row r="888">
      <c r="A888" s="295"/>
      <c r="B888" s="295"/>
      <c r="C888" s="296"/>
      <c r="D888" s="295"/>
      <c r="E888" s="297"/>
      <c r="F888" s="298"/>
      <c r="G888" s="299"/>
      <c r="I888" s="288"/>
      <c r="J888" s="289"/>
      <c r="K888" s="290"/>
    </row>
    <row r="889">
      <c r="A889" s="295"/>
      <c r="B889" s="295"/>
      <c r="C889" s="296"/>
      <c r="D889" s="295"/>
      <c r="E889" s="297"/>
      <c r="F889" s="298"/>
      <c r="G889" s="299"/>
      <c r="I889" s="288"/>
      <c r="J889" s="289"/>
      <c r="K889" s="290"/>
    </row>
    <row r="890">
      <c r="A890" s="295"/>
      <c r="B890" s="295"/>
      <c r="C890" s="296"/>
      <c r="D890" s="295"/>
      <c r="E890" s="297"/>
      <c r="F890" s="298"/>
      <c r="G890" s="299"/>
      <c r="I890" s="288"/>
      <c r="J890" s="289"/>
      <c r="K890" s="290"/>
    </row>
    <row r="891">
      <c r="A891" s="295"/>
      <c r="B891" s="295"/>
      <c r="C891" s="296"/>
      <c r="D891" s="295"/>
      <c r="E891" s="297"/>
      <c r="F891" s="298"/>
      <c r="G891" s="299"/>
      <c r="I891" s="288"/>
      <c r="J891" s="289"/>
      <c r="K891" s="290"/>
    </row>
    <row r="892">
      <c r="A892" s="295"/>
      <c r="B892" s="295"/>
      <c r="C892" s="296"/>
      <c r="D892" s="295"/>
      <c r="E892" s="297"/>
      <c r="F892" s="298"/>
      <c r="G892" s="299"/>
      <c r="I892" s="288"/>
      <c r="J892" s="289"/>
      <c r="K892" s="290"/>
    </row>
    <row r="893">
      <c r="A893" s="295"/>
      <c r="B893" s="295"/>
      <c r="C893" s="296"/>
      <c r="D893" s="295"/>
      <c r="E893" s="297"/>
      <c r="F893" s="298"/>
      <c r="G893" s="299"/>
      <c r="I893" s="288"/>
      <c r="J893" s="289"/>
      <c r="K893" s="290"/>
    </row>
    <row r="894">
      <c r="A894" s="295"/>
      <c r="B894" s="295"/>
      <c r="C894" s="296"/>
      <c r="D894" s="295"/>
      <c r="E894" s="297"/>
      <c r="F894" s="298"/>
      <c r="G894" s="299"/>
      <c r="I894" s="288"/>
      <c r="J894" s="289"/>
      <c r="K894" s="290"/>
    </row>
    <row r="895">
      <c r="A895" s="295"/>
      <c r="B895" s="295"/>
      <c r="C895" s="296"/>
      <c r="D895" s="295"/>
      <c r="E895" s="297"/>
      <c r="F895" s="298"/>
      <c r="G895" s="299"/>
      <c r="I895" s="288"/>
      <c r="J895" s="289"/>
      <c r="K895" s="290"/>
    </row>
    <row r="896">
      <c r="A896" s="295"/>
      <c r="B896" s="295"/>
      <c r="C896" s="296"/>
      <c r="D896" s="295"/>
      <c r="E896" s="297"/>
      <c r="F896" s="298"/>
      <c r="G896" s="299"/>
      <c r="I896" s="288"/>
      <c r="J896" s="289"/>
      <c r="K896" s="290"/>
    </row>
    <row r="897">
      <c r="A897" s="295"/>
      <c r="B897" s="295"/>
      <c r="C897" s="296"/>
      <c r="D897" s="295"/>
      <c r="E897" s="297"/>
      <c r="F897" s="298"/>
      <c r="G897" s="299"/>
      <c r="I897" s="288"/>
      <c r="J897" s="289"/>
      <c r="K897" s="290"/>
    </row>
    <row r="898">
      <c r="A898" s="295"/>
      <c r="B898" s="295"/>
      <c r="C898" s="296"/>
      <c r="D898" s="295"/>
      <c r="E898" s="297"/>
      <c r="F898" s="298"/>
      <c r="G898" s="299"/>
      <c r="I898" s="288"/>
      <c r="J898" s="289"/>
      <c r="K898" s="290"/>
    </row>
    <row r="899">
      <c r="A899" s="295"/>
      <c r="B899" s="295"/>
      <c r="C899" s="296"/>
      <c r="D899" s="295"/>
      <c r="E899" s="297"/>
      <c r="F899" s="298"/>
      <c r="G899" s="299"/>
      <c r="I899" s="288"/>
      <c r="J899" s="289"/>
      <c r="K899" s="290"/>
    </row>
    <row r="900">
      <c r="A900" s="295"/>
      <c r="B900" s="295"/>
      <c r="C900" s="296"/>
      <c r="D900" s="295"/>
      <c r="E900" s="297"/>
      <c r="F900" s="298"/>
      <c r="G900" s="299"/>
      <c r="I900" s="288"/>
      <c r="J900" s="289"/>
      <c r="K900" s="290"/>
    </row>
    <row r="901">
      <c r="A901" s="295"/>
      <c r="B901" s="295"/>
      <c r="C901" s="296"/>
      <c r="D901" s="295"/>
      <c r="E901" s="297"/>
      <c r="F901" s="298"/>
      <c r="G901" s="299"/>
      <c r="I901" s="288"/>
      <c r="J901" s="289"/>
      <c r="K901" s="290"/>
    </row>
    <row r="902">
      <c r="A902" s="295"/>
      <c r="B902" s="295"/>
      <c r="C902" s="296"/>
      <c r="D902" s="295"/>
      <c r="E902" s="297"/>
      <c r="F902" s="298"/>
      <c r="G902" s="299"/>
      <c r="I902" s="288"/>
      <c r="J902" s="289"/>
      <c r="K902" s="290"/>
    </row>
    <row r="903">
      <c r="A903" s="295"/>
      <c r="B903" s="295"/>
      <c r="C903" s="296"/>
      <c r="D903" s="295"/>
      <c r="E903" s="297"/>
      <c r="F903" s="298"/>
      <c r="G903" s="299"/>
      <c r="I903" s="288"/>
      <c r="J903" s="289"/>
      <c r="K903" s="290"/>
    </row>
    <row r="904">
      <c r="A904" s="295"/>
      <c r="B904" s="295"/>
      <c r="C904" s="296"/>
      <c r="D904" s="295"/>
      <c r="E904" s="297"/>
      <c r="F904" s="298"/>
      <c r="G904" s="299"/>
      <c r="I904" s="288"/>
      <c r="J904" s="289"/>
      <c r="K904" s="290"/>
    </row>
    <row r="905">
      <c r="A905" s="295"/>
      <c r="B905" s="295"/>
      <c r="C905" s="296"/>
      <c r="D905" s="295"/>
      <c r="E905" s="297"/>
      <c r="F905" s="298"/>
      <c r="G905" s="299"/>
      <c r="I905" s="288"/>
      <c r="J905" s="289"/>
      <c r="K905" s="290"/>
    </row>
    <row r="906">
      <c r="A906" s="295"/>
      <c r="B906" s="295"/>
      <c r="C906" s="296"/>
      <c r="D906" s="295"/>
      <c r="E906" s="297"/>
      <c r="F906" s="298"/>
      <c r="G906" s="299"/>
      <c r="I906" s="288"/>
      <c r="J906" s="289"/>
      <c r="K906" s="290"/>
    </row>
    <row r="907">
      <c r="A907" s="295"/>
      <c r="B907" s="295"/>
      <c r="C907" s="296"/>
      <c r="D907" s="295"/>
      <c r="E907" s="297"/>
      <c r="F907" s="298"/>
      <c r="G907" s="299"/>
      <c r="I907" s="288"/>
      <c r="J907" s="289"/>
      <c r="K907" s="290"/>
    </row>
    <row r="908">
      <c r="A908" s="295"/>
      <c r="B908" s="295"/>
      <c r="C908" s="296"/>
      <c r="D908" s="295"/>
      <c r="E908" s="297"/>
      <c r="F908" s="298"/>
      <c r="G908" s="299"/>
      <c r="I908" s="288"/>
      <c r="J908" s="289"/>
      <c r="K908" s="290"/>
    </row>
    <row r="909">
      <c r="A909" s="295"/>
      <c r="B909" s="295"/>
      <c r="C909" s="296"/>
      <c r="D909" s="295"/>
      <c r="E909" s="297"/>
      <c r="F909" s="298"/>
      <c r="G909" s="299"/>
      <c r="I909" s="288"/>
      <c r="J909" s="289"/>
      <c r="K909" s="290"/>
    </row>
    <row r="910">
      <c r="A910" s="295"/>
      <c r="B910" s="295"/>
      <c r="C910" s="296"/>
      <c r="D910" s="295"/>
      <c r="E910" s="297"/>
      <c r="F910" s="298"/>
      <c r="G910" s="299"/>
      <c r="I910" s="288"/>
      <c r="J910" s="289"/>
      <c r="K910" s="290"/>
    </row>
    <row r="911">
      <c r="A911" s="295"/>
      <c r="B911" s="295"/>
      <c r="C911" s="296"/>
      <c r="D911" s="295"/>
      <c r="E911" s="297"/>
      <c r="F911" s="298"/>
      <c r="G911" s="299"/>
      <c r="I911" s="288"/>
      <c r="J911" s="289"/>
      <c r="K911" s="290"/>
    </row>
    <row r="912">
      <c r="A912" s="295"/>
      <c r="B912" s="295"/>
      <c r="C912" s="296"/>
      <c r="D912" s="295"/>
      <c r="E912" s="297"/>
      <c r="F912" s="298"/>
      <c r="G912" s="299"/>
      <c r="I912" s="288"/>
      <c r="J912" s="289"/>
      <c r="K912" s="290"/>
    </row>
    <row r="913">
      <c r="A913" s="295"/>
      <c r="B913" s="295"/>
      <c r="C913" s="296"/>
      <c r="D913" s="295"/>
      <c r="E913" s="297"/>
      <c r="F913" s="298"/>
      <c r="G913" s="299"/>
      <c r="I913" s="288"/>
      <c r="J913" s="289"/>
      <c r="K913" s="290"/>
    </row>
    <row r="914">
      <c r="A914" s="295"/>
      <c r="B914" s="295"/>
      <c r="C914" s="296"/>
      <c r="D914" s="295"/>
      <c r="E914" s="297"/>
      <c r="F914" s="298"/>
      <c r="G914" s="299"/>
      <c r="I914" s="288"/>
      <c r="J914" s="289"/>
      <c r="K914" s="290"/>
    </row>
    <row r="915">
      <c r="A915" s="295"/>
      <c r="B915" s="295"/>
      <c r="C915" s="296"/>
      <c r="D915" s="295"/>
      <c r="E915" s="297"/>
      <c r="F915" s="298"/>
      <c r="G915" s="299"/>
      <c r="I915" s="288"/>
      <c r="J915" s="289"/>
      <c r="K915" s="290"/>
    </row>
    <row r="916">
      <c r="A916" s="295"/>
      <c r="B916" s="295"/>
      <c r="C916" s="296"/>
      <c r="D916" s="295"/>
      <c r="E916" s="297"/>
      <c r="F916" s="298"/>
      <c r="G916" s="299"/>
      <c r="I916" s="288"/>
      <c r="J916" s="289"/>
      <c r="K916" s="290"/>
    </row>
    <row r="917">
      <c r="A917" s="295"/>
      <c r="B917" s="295"/>
      <c r="C917" s="296"/>
      <c r="D917" s="295"/>
      <c r="E917" s="297"/>
      <c r="F917" s="298"/>
      <c r="G917" s="299"/>
      <c r="I917" s="288"/>
      <c r="J917" s="289"/>
      <c r="K917" s="290"/>
    </row>
    <row r="918">
      <c r="A918" s="295"/>
      <c r="B918" s="295"/>
      <c r="C918" s="296"/>
      <c r="D918" s="295"/>
      <c r="E918" s="297"/>
      <c r="F918" s="298"/>
      <c r="G918" s="299"/>
      <c r="I918" s="288"/>
      <c r="J918" s="289"/>
      <c r="K918" s="290"/>
    </row>
    <row r="919">
      <c r="A919" s="295"/>
      <c r="B919" s="295"/>
      <c r="C919" s="296"/>
      <c r="D919" s="295"/>
      <c r="E919" s="297"/>
      <c r="F919" s="298"/>
      <c r="G919" s="299"/>
      <c r="I919" s="288"/>
      <c r="J919" s="289"/>
      <c r="K919" s="290"/>
    </row>
    <row r="920">
      <c r="A920" s="295"/>
      <c r="B920" s="295"/>
      <c r="C920" s="296"/>
      <c r="D920" s="295"/>
      <c r="E920" s="297"/>
      <c r="F920" s="298"/>
      <c r="G920" s="299"/>
      <c r="I920" s="288"/>
      <c r="J920" s="289"/>
      <c r="K920" s="290"/>
    </row>
    <row r="921">
      <c r="A921" s="295"/>
      <c r="B921" s="295"/>
      <c r="C921" s="296"/>
      <c r="D921" s="295"/>
      <c r="E921" s="297"/>
      <c r="F921" s="298"/>
      <c r="G921" s="299"/>
      <c r="I921" s="288"/>
      <c r="J921" s="289"/>
      <c r="K921" s="290"/>
    </row>
    <row r="922">
      <c r="A922" s="295"/>
      <c r="B922" s="295"/>
      <c r="C922" s="296"/>
      <c r="D922" s="295"/>
      <c r="E922" s="297"/>
      <c r="F922" s="298"/>
      <c r="G922" s="299"/>
      <c r="I922" s="288"/>
      <c r="J922" s="289"/>
      <c r="K922" s="290"/>
    </row>
    <row r="923">
      <c r="A923" s="295"/>
      <c r="B923" s="295"/>
      <c r="C923" s="296"/>
      <c r="D923" s="295"/>
      <c r="E923" s="297"/>
      <c r="F923" s="298"/>
      <c r="G923" s="299"/>
      <c r="I923" s="288"/>
      <c r="J923" s="289"/>
      <c r="K923" s="290"/>
    </row>
    <row r="924">
      <c r="A924" s="295"/>
      <c r="B924" s="295"/>
      <c r="C924" s="296"/>
      <c r="D924" s="295"/>
      <c r="E924" s="297"/>
      <c r="F924" s="298"/>
      <c r="G924" s="299"/>
      <c r="I924" s="288"/>
      <c r="J924" s="289"/>
      <c r="K924" s="290"/>
    </row>
    <row r="925">
      <c r="A925" s="295"/>
      <c r="B925" s="295"/>
      <c r="C925" s="296"/>
      <c r="D925" s="295"/>
      <c r="E925" s="297"/>
      <c r="F925" s="298"/>
      <c r="G925" s="299"/>
      <c r="I925" s="288"/>
      <c r="J925" s="289"/>
      <c r="K925" s="290"/>
    </row>
    <row r="926">
      <c r="A926" s="295"/>
      <c r="B926" s="295"/>
      <c r="C926" s="296"/>
      <c r="D926" s="295"/>
      <c r="E926" s="297"/>
      <c r="F926" s="298"/>
      <c r="G926" s="299"/>
      <c r="I926" s="288"/>
      <c r="J926" s="289"/>
      <c r="K926" s="290"/>
    </row>
    <row r="927">
      <c r="A927" s="295"/>
      <c r="B927" s="295"/>
      <c r="C927" s="296"/>
      <c r="D927" s="295"/>
      <c r="E927" s="297"/>
      <c r="F927" s="298"/>
      <c r="G927" s="299"/>
      <c r="I927" s="288"/>
      <c r="J927" s="289"/>
      <c r="K927" s="290"/>
    </row>
    <row r="928">
      <c r="A928" s="295"/>
      <c r="B928" s="295"/>
      <c r="C928" s="296"/>
      <c r="D928" s="295"/>
      <c r="E928" s="297"/>
      <c r="F928" s="298"/>
      <c r="G928" s="299"/>
      <c r="I928" s="288"/>
      <c r="J928" s="289"/>
      <c r="K928" s="290"/>
    </row>
    <row r="929">
      <c r="A929" s="295"/>
      <c r="B929" s="295"/>
      <c r="C929" s="296"/>
      <c r="D929" s="295"/>
      <c r="E929" s="297"/>
      <c r="F929" s="298"/>
      <c r="G929" s="299"/>
      <c r="I929" s="288"/>
      <c r="J929" s="289"/>
      <c r="K929" s="290"/>
    </row>
    <row r="930">
      <c r="A930" s="295"/>
      <c r="B930" s="295"/>
      <c r="C930" s="296"/>
      <c r="D930" s="295"/>
      <c r="E930" s="297"/>
      <c r="F930" s="298"/>
      <c r="G930" s="299"/>
      <c r="I930" s="288"/>
      <c r="J930" s="289"/>
      <c r="K930" s="290"/>
    </row>
    <row r="931">
      <c r="A931" s="295"/>
      <c r="B931" s="295"/>
      <c r="C931" s="296"/>
      <c r="D931" s="295"/>
      <c r="E931" s="297"/>
      <c r="F931" s="298"/>
      <c r="G931" s="299"/>
      <c r="I931" s="288"/>
      <c r="J931" s="289"/>
      <c r="K931" s="290"/>
    </row>
    <row r="932">
      <c r="A932" s="295"/>
      <c r="B932" s="295"/>
      <c r="C932" s="296"/>
      <c r="D932" s="295"/>
      <c r="E932" s="297"/>
      <c r="F932" s="298"/>
      <c r="G932" s="299"/>
      <c r="I932" s="288"/>
      <c r="J932" s="289"/>
      <c r="K932" s="290"/>
    </row>
    <row r="933">
      <c r="A933" s="295"/>
      <c r="B933" s="295"/>
      <c r="C933" s="296"/>
      <c r="D933" s="295"/>
      <c r="E933" s="297"/>
      <c r="F933" s="298"/>
      <c r="G933" s="299"/>
      <c r="I933" s="288"/>
      <c r="J933" s="289"/>
      <c r="K933" s="290"/>
    </row>
    <row r="934">
      <c r="A934" s="295"/>
      <c r="B934" s="295"/>
      <c r="C934" s="296"/>
      <c r="D934" s="295"/>
      <c r="E934" s="297"/>
      <c r="F934" s="298"/>
      <c r="G934" s="299"/>
      <c r="I934" s="288"/>
      <c r="J934" s="289"/>
      <c r="K934" s="290"/>
    </row>
    <row r="935">
      <c r="A935" s="295"/>
      <c r="B935" s="295"/>
      <c r="C935" s="296"/>
      <c r="D935" s="295"/>
      <c r="E935" s="297"/>
      <c r="F935" s="298"/>
      <c r="G935" s="299"/>
      <c r="I935" s="288"/>
      <c r="J935" s="289"/>
      <c r="K935" s="290"/>
    </row>
    <row r="936">
      <c r="A936" s="295"/>
      <c r="B936" s="295"/>
      <c r="C936" s="296"/>
      <c r="D936" s="295"/>
      <c r="E936" s="297"/>
      <c r="F936" s="298"/>
      <c r="G936" s="299"/>
      <c r="I936" s="288"/>
      <c r="J936" s="289"/>
      <c r="K936" s="290"/>
    </row>
    <row r="937">
      <c r="A937" s="295"/>
      <c r="B937" s="295"/>
      <c r="C937" s="296"/>
      <c r="D937" s="295"/>
      <c r="E937" s="297"/>
      <c r="F937" s="298"/>
      <c r="G937" s="299"/>
      <c r="I937" s="288"/>
      <c r="J937" s="289"/>
      <c r="K937" s="290"/>
    </row>
    <row r="938">
      <c r="A938" s="295"/>
      <c r="B938" s="295"/>
      <c r="C938" s="296"/>
      <c r="D938" s="295"/>
      <c r="E938" s="297"/>
      <c r="F938" s="298"/>
      <c r="G938" s="299"/>
      <c r="I938" s="288"/>
      <c r="J938" s="289"/>
      <c r="K938" s="290"/>
    </row>
    <row r="939">
      <c r="A939" s="295"/>
      <c r="B939" s="295"/>
      <c r="C939" s="296"/>
      <c r="D939" s="295"/>
      <c r="E939" s="297"/>
      <c r="F939" s="298"/>
      <c r="G939" s="299"/>
      <c r="I939" s="288"/>
      <c r="J939" s="289"/>
      <c r="K939" s="290"/>
    </row>
    <row r="940">
      <c r="A940" s="295"/>
      <c r="B940" s="295"/>
      <c r="C940" s="296"/>
      <c r="D940" s="295"/>
      <c r="E940" s="297"/>
      <c r="F940" s="298"/>
      <c r="G940" s="299"/>
      <c r="I940" s="288"/>
      <c r="J940" s="289"/>
      <c r="K940" s="290"/>
    </row>
    <row r="941">
      <c r="A941" s="295"/>
      <c r="B941" s="295"/>
      <c r="C941" s="296"/>
      <c r="D941" s="295"/>
      <c r="E941" s="297"/>
      <c r="F941" s="298"/>
      <c r="G941" s="299"/>
      <c r="I941" s="288"/>
      <c r="J941" s="289"/>
      <c r="K941" s="290"/>
    </row>
    <row r="942">
      <c r="A942" s="295"/>
      <c r="B942" s="295"/>
      <c r="C942" s="296"/>
      <c r="D942" s="295"/>
      <c r="E942" s="297"/>
      <c r="F942" s="298"/>
      <c r="G942" s="299"/>
      <c r="I942" s="288"/>
      <c r="J942" s="289"/>
      <c r="K942" s="290"/>
    </row>
    <row r="943">
      <c r="A943" s="295"/>
      <c r="B943" s="295"/>
      <c r="C943" s="296"/>
      <c r="D943" s="295"/>
      <c r="E943" s="297"/>
      <c r="F943" s="298"/>
      <c r="G943" s="299"/>
      <c r="I943" s="288"/>
      <c r="J943" s="289"/>
      <c r="K943" s="290"/>
    </row>
    <row r="944">
      <c r="A944" s="295"/>
      <c r="B944" s="295"/>
      <c r="C944" s="296"/>
      <c r="D944" s="295"/>
      <c r="E944" s="297"/>
      <c r="F944" s="298"/>
      <c r="G944" s="299"/>
      <c r="I944" s="288"/>
      <c r="J944" s="289"/>
      <c r="K944" s="290"/>
    </row>
    <row r="945">
      <c r="A945" s="295"/>
      <c r="B945" s="295"/>
      <c r="C945" s="296"/>
      <c r="D945" s="295"/>
      <c r="E945" s="297"/>
      <c r="F945" s="298"/>
      <c r="G945" s="299"/>
      <c r="I945" s="288"/>
      <c r="J945" s="289"/>
      <c r="K945" s="290"/>
    </row>
    <row r="946">
      <c r="A946" s="295"/>
      <c r="B946" s="295"/>
      <c r="C946" s="296"/>
      <c r="D946" s="295"/>
      <c r="E946" s="297"/>
      <c r="F946" s="298"/>
      <c r="G946" s="299"/>
      <c r="I946" s="288"/>
      <c r="J946" s="289"/>
      <c r="K946" s="290"/>
    </row>
    <row r="947">
      <c r="A947" s="295"/>
      <c r="B947" s="295"/>
      <c r="C947" s="296"/>
      <c r="D947" s="295"/>
      <c r="E947" s="297"/>
      <c r="F947" s="298"/>
      <c r="G947" s="299"/>
      <c r="I947" s="288"/>
      <c r="J947" s="289"/>
      <c r="K947" s="290"/>
    </row>
    <row r="948">
      <c r="E948" s="300"/>
      <c r="F948" s="200"/>
    </row>
    <row r="949">
      <c r="E949" s="300"/>
      <c r="F949" s="200"/>
    </row>
    <row r="950">
      <c r="E950" s="300"/>
      <c r="F950" s="200"/>
    </row>
    <row r="951">
      <c r="E951" s="300"/>
      <c r="F951" s="200"/>
    </row>
    <row r="952">
      <c r="E952" s="300"/>
      <c r="F952" s="200"/>
    </row>
    <row r="953">
      <c r="E953" s="300"/>
      <c r="F953" s="200"/>
    </row>
    <row r="954">
      <c r="E954" s="300"/>
      <c r="F954" s="200"/>
    </row>
    <row r="955">
      <c r="E955" s="300"/>
      <c r="F955" s="200"/>
    </row>
    <row r="956">
      <c r="E956" s="300"/>
      <c r="F956" s="200"/>
    </row>
    <row r="957">
      <c r="E957" s="300"/>
      <c r="F957" s="200"/>
    </row>
    <row r="958">
      <c r="E958" s="300"/>
      <c r="F958" s="200"/>
    </row>
    <row r="959">
      <c r="E959" s="300"/>
      <c r="F959" s="200"/>
    </row>
    <row r="960">
      <c r="E960" s="300"/>
      <c r="F960" s="200"/>
    </row>
    <row r="961">
      <c r="E961" s="300"/>
      <c r="F961" s="200"/>
    </row>
    <row r="962">
      <c r="E962" s="300"/>
      <c r="F962" s="200"/>
    </row>
    <row r="963">
      <c r="E963" s="300"/>
      <c r="F963" s="200"/>
    </row>
    <row r="964">
      <c r="E964" s="300"/>
      <c r="F964" s="200"/>
    </row>
    <row r="965">
      <c r="E965" s="300"/>
      <c r="F965" s="200"/>
    </row>
    <row r="966">
      <c r="E966" s="300"/>
      <c r="F966" s="200"/>
    </row>
    <row r="967">
      <c r="E967" s="300"/>
      <c r="F967" s="200"/>
    </row>
    <row r="968">
      <c r="E968" s="300"/>
      <c r="F968" s="200"/>
    </row>
    <row r="969">
      <c r="E969" s="300"/>
      <c r="F969" s="200"/>
    </row>
    <row r="970">
      <c r="E970" s="300"/>
      <c r="F970" s="200"/>
    </row>
    <row r="971">
      <c r="E971" s="300"/>
      <c r="F971" s="200"/>
    </row>
    <row r="972">
      <c r="E972" s="300"/>
      <c r="F972" s="200"/>
    </row>
    <row r="973">
      <c r="E973" s="300"/>
      <c r="F973" s="200"/>
    </row>
    <row r="974">
      <c r="E974" s="300"/>
      <c r="F974" s="200"/>
    </row>
    <row r="975">
      <c r="E975" s="300"/>
      <c r="F975" s="200"/>
    </row>
    <row r="976">
      <c r="E976" s="300"/>
      <c r="F976" s="200"/>
    </row>
    <row r="977">
      <c r="E977" s="300"/>
      <c r="F977" s="200"/>
    </row>
    <row r="978">
      <c r="E978" s="300"/>
      <c r="F978" s="200"/>
    </row>
    <row r="979">
      <c r="E979" s="300"/>
      <c r="F979" s="200"/>
    </row>
    <row r="980">
      <c r="E980" s="300"/>
      <c r="F980" s="200"/>
    </row>
    <row r="981">
      <c r="E981" s="300"/>
      <c r="F981" s="200"/>
    </row>
    <row r="982">
      <c r="E982" s="300"/>
      <c r="F982" s="200"/>
    </row>
    <row r="983">
      <c r="E983" s="300"/>
      <c r="F983" s="200"/>
    </row>
    <row r="984">
      <c r="E984" s="300"/>
      <c r="F984" s="200"/>
    </row>
    <row r="985">
      <c r="E985" s="300"/>
      <c r="F985" s="200"/>
    </row>
    <row r="986">
      <c r="E986" s="300"/>
      <c r="F986" s="200"/>
    </row>
    <row r="987">
      <c r="E987" s="300"/>
      <c r="F987" s="200"/>
    </row>
    <row r="988">
      <c r="E988" s="300"/>
      <c r="F988" s="200"/>
    </row>
    <row r="989">
      <c r="E989" s="300"/>
      <c r="F989" s="200"/>
    </row>
    <row r="990">
      <c r="E990" s="300"/>
      <c r="F990" s="200"/>
    </row>
    <row r="991">
      <c r="E991" s="300"/>
      <c r="F991" s="200"/>
    </row>
    <row r="992">
      <c r="E992" s="300"/>
      <c r="F992" s="200"/>
    </row>
    <row r="993">
      <c r="E993" s="300"/>
      <c r="F993" s="200"/>
    </row>
    <row r="994">
      <c r="E994" s="300"/>
      <c r="F994" s="200"/>
    </row>
    <row r="995">
      <c r="E995" s="300"/>
      <c r="F995" s="200"/>
    </row>
    <row r="996">
      <c r="E996" s="300"/>
      <c r="F996" s="200"/>
    </row>
    <row r="997">
      <c r="E997" s="300"/>
      <c r="F997" s="200"/>
    </row>
    <row r="998">
      <c r="E998" s="300"/>
      <c r="F998" s="200"/>
    </row>
    <row r="999">
      <c r="E999" s="300"/>
      <c r="F999" s="200"/>
    </row>
    <row r="1000">
      <c r="E1000" s="300"/>
      <c r="F1000" s="200"/>
    </row>
    <row r="1001">
      <c r="E1001" s="300"/>
      <c r="F1001" s="200"/>
    </row>
    <row r="1002">
      <c r="E1002" s="300"/>
      <c r="F1002" s="200"/>
    </row>
    <row r="1003">
      <c r="E1003" s="300"/>
      <c r="F1003" s="200"/>
    </row>
    <row r="1004">
      <c r="E1004" s="300"/>
      <c r="F1004" s="200"/>
    </row>
    <row r="1005">
      <c r="E1005" s="300"/>
      <c r="F1005" s="200"/>
    </row>
    <row r="1006">
      <c r="E1006" s="300"/>
      <c r="F1006" s="200"/>
    </row>
    <row r="1007">
      <c r="E1007" s="300"/>
      <c r="F1007" s="200"/>
    </row>
    <row r="1008">
      <c r="E1008" s="300"/>
      <c r="F1008" s="200"/>
    </row>
    <row r="1009">
      <c r="E1009" s="300"/>
      <c r="F1009" s="200"/>
    </row>
    <row r="1010">
      <c r="E1010" s="300"/>
      <c r="F1010" s="200"/>
    </row>
  </sheetData>
  <mergeCells count="1">
    <mergeCell ref="C1:D1"/>
  </mergeCells>
  <conditionalFormatting sqref="C2">
    <cfRule type="cellIs" dxfId="9" priority="1" operator="lessThan">
      <formula>0</formula>
    </cfRule>
  </conditionalFormatting>
  <conditionalFormatting sqref="C2">
    <cfRule type="cellIs" dxfId="10" priority="2" operator="greaterThan">
      <formula>0</formula>
    </cfRule>
  </conditionalFormatting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6.63"/>
    <col customWidth="1" min="4" max="4" width="13.5"/>
    <col customWidth="1" min="5" max="5" width="16.63"/>
    <col customWidth="1" min="6" max="6" width="24.38"/>
    <col customWidth="1" min="7" max="7" width="19.75"/>
    <col customWidth="1" min="8" max="8" width="13.0"/>
    <col customWidth="1" min="10" max="11" width="10.13"/>
  </cols>
  <sheetData>
    <row r="1" ht="22.5" customHeight="1">
      <c r="A1" s="301" t="s">
        <v>537</v>
      </c>
      <c r="B1" s="302" t="s">
        <v>728</v>
      </c>
      <c r="C1" s="302" t="s">
        <v>941</v>
      </c>
      <c r="D1" s="302" t="s">
        <v>942</v>
      </c>
      <c r="E1" s="302" t="s">
        <v>943</v>
      </c>
      <c r="F1" s="302" t="s">
        <v>476</v>
      </c>
      <c r="G1" s="303" t="s">
        <v>944</v>
      </c>
      <c r="H1" s="304" t="s">
        <v>945</v>
      </c>
      <c r="I1" s="304" t="s">
        <v>946</v>
      </c>
      <c r="J1" s="304" t="s">
        <v>947</v>
      </c>
      <c r="K1" s="304" t="s">
        <v>948</v>
      </c>
    </row>
    <row r="2" ht="22.5" customHeight="1">
      <c r="A2" s="305">
        <v>1.0</v>
      </c>
      <c r="B2" s="305" t="s">
        <v>949</v>
      </c>
      <c r="C2" s="306" t="s">
        <v>950</v>
      </c>
      <c r="D2" s="307" t="s">
        <v>951</v>
      </c>
      <c r="E2" s="308" t="s">
        <v>244</v>
      </c>
      <c r="F2" s="309" t="s">
        <v>952</v>
      </c>
      <c r="G2" s="309" t="s">
        <v>953</v>
      </c>
      <c r="H2" s="310">
        <v>45678.0</v>
      </c>
      <c r="I2" s="305" t="s">
        <v>954</v>
      </c>
      <c r="J2" s="311">
        <v>45986.0</v>
      </c>
      <c r="K2" s="305" t="s">
        <v>510</v>
      </c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</row>
    <row r="3" ht="22.5" customHeight="1">
      <c r="A3" s="313">
        <v>2.0</v>
      </c>
      <c r="B3" s="313" t="s">
        <v>949</v>
      </c>
      <c r="C3" s="314" t="s">
        <v>955</v>
      </c>
      <c r="D3" s="315" t="s">
        <v>302</v>
      </c>
      <c r="E3" s="313" t="s">
        <v>301</v>
      </c>
      <c r="F3" s="316" t="s">
        <v>956</v>
      </c>
      <c r="G3" s="316" t="s">
        <v>957</v>
      </c>
      <c r="H3" s="317">
        <v>45678.0</v>
      </c>
      <c r="I3" s="313" t="s">
        <v>552</v>
      </c>
      <c r="J3" s="318">
        <v>45986.0</v>
      </c>
      <c r="K3" s="313" t="s">
        <v>958</v>
      </c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2"/>
      <c r="Z3" s="312"/>
    </row>
    <row r="4" ht="22.5" customHeight="1">
      <c r="A4" s="305">
        <v>3.0</v>
      </c>
      <c r="B4" s="305" t="s">
        <v>949</v>
      </c>
      <c r="C4" s="306" t="s">
        <v>950</v>
      </c>
      <c r="D4" s="307" t="s">
        <v>316</v>
      </c>
      <c r="E4" s="305" t="s">
        <v>315</v>
      </c>
      <c r="F4" s="309" t="s">
        <v>959</v>
      </c>
      <c r="G4" s="309" t="s">
        <v>960</v>
      </c>
      <c r="H4" s="310">
        <v>45678.0</v>
      </c>
      <c r="I4" s="305" t="s">
        <v>961</v>
      </c>
      <c r="J4" s="311">
        <v>45986.0</v>
      </c>
      <c r="K4" s="305" t="s">
        <v>961</v>
      </c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</row>
    <row r="5" ht="22.5" customHeight="1">
      <c r="A5" s="313">
        <v>4.0</v>
      </c>
      <c r="B5" s="313" t="s">
        <v>949</v>
      </c>
      <c r="C5" s="314" t="s">
        <v>955</v>
      </c>
      <c r="D5" s="315">
        <v>5707.0</v>
      </c>
      <c r="E5" s="313" t="s">
        <v>325</v>
      </c>
      <c r="F5" s="316" t="s">
        <v>959</v>
      </c>
      <c r="G5" s="316" t="s">
        <v>960</v>
      </c>
      <c r="H5" s="317">
        <v>45678.0</v>
      </c>
      <c r="I5" s="313" t="s">
        <v>552</v>
      </c>
      <c r="J5" s="318">
        <v>45986.0</v>
      </c>
      <c r="K5" s="313" t="s">
        <v>958</v>
      </c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</row>
    <row r="6" ht="22.5" customHeight="1">
      <c r="A6" s="313">
        <v>5.0</v>
      </c>
      <c r="B6" s="313" t="s">
        <v>949</v>
      </c>
      <c r="C6" s="319" t="s">
        <v>950</v>
      </c>
      <c r="D6" s="315" t="s">
        <v>328</v>
      </c>
      <c r="E6" s="313" t="s">
        <v>327</v>
      </c>
      <c r="F6" s="316" t="s">
        <v>959</v>
      </c>
      <c r="G6" s="316" t="s">
        <v>960</v>
      </c>
      <c r="H6" s="317">
        <v>45678.0</v>
      </c>
      <c r="I6" s="313" t="s">
        <v>594</v>
      </c>
      <c r="J6" s="318">
        <v>45986.0</v>
      </c>
      <c r="K6" s="313" t="s">
        <v>958</v>
      </c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</row>
    <row r="7" ht="22.5" customHeight="1">
      <c r="A7" s="313">
        <v>6.0</v>
      </c>
      <c r="B7" s="313" t="s">
        <v>949</v>
      </c>
      <c r="C7" s="314" t="s">
        <v>955</v>
      </c>
      <c r="D7" s="315" t="s">
        <v>339</v>
      </c>
      <c r="E7" s="313" t="s">
        <v>338</v>
      </c>
      <c r="F7" s="316" t="s">
        <v>956</v>
      </c>
      <c r="G7" s="316" t="s">
        <v>957</v>
      </c>
      <c r="H7" s="317">
        <v>45678.0</v>
      </c>
      <c r="I7" s="313" t="s">
        <v>552</v>
      </c>
      <c r="J7" s="318">
        <v>45986.0</v>
      </c>
      <c r="K7" s="313" t="s">
        <v>958</v>
      </c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ht="22.5" customHeight="1">
      <c r="A8" s="313">
        <v>7.0</v>
      </c>
      <c r="B8" s="313" t="s">
        <v>949</v>
      </c>
      <c r="C8" s="319" t="s">
        <v>950</v>
      </c>
      <c r="D8" s="315" t="s">
        <v>346</v>
      </c>
      <c r="E8" s="313" t="s">
        <v>345</v>
      </c>
      <c r="F8" s="316" t="s">
        <v>959</v>
      </c>
      <c r="G8" s="316" t="s">
        <v>960</v>
      </c>
      <c r="H8" s="317">
        <v>45678.0</v>
      </c>
      <c r="I8" s="313" t="s">
        <v>567</v>
      </c>
      <c r="J8" s="318">
        <v>45986.0</v>
      </c>
      <c r="K8" s="313" t="s">
        <v>958</v>
      </c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</row>
    <row r="9" ht="22.5" customHeight="1">
      <c r="A9" s="313">
        <v>8.0</v>
      </c>
      <c r="B9" s="313" t="s">
        <v>949</v>
      </c>
      <c r="C9" s="314" t="s">
        <v>955</v>
      </c>
      <c r="D9" s="315" t="s">
        <v>349</v>
      </c>
      <c r="E9" s="313" t="s">
        <v>348</v>
      </c>
      <c r="F9" s="316" t="s">
        <v>956</v>
      </c>
      <c r="G9" s="316" t="s">
        <v>957</v>
      </c>
      <c r="H9" s="317">
        <v>45678.0</v>
      </c>
      <c r="I9" s="313" t="s">
        <v>567</v>
      </c>
      <c r="J9" s="318">
        <v>45986.0</v>
      </c>
      <c r="K9" s="313" t="s">
        <v>958</v>
      </c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</row>
    <row r="10" ht="22.5" customHeight="1">
      <c r="A10" s="313">
        <v>9.0</v>
      </c>
      <c r="B10" s="313" t="s">
        <v>949</v>
      </c>
      <c r="C10" s="314" t="s">
        <v>955</v>
      </c>
      <c r="D10" s="315" t="s">
        <v>354</v>
      </c>
      <c r="E10" s="313" t="s">
        <v>353</v>
      </c>
      <c r="F10" s="316" t="s">
        <v>959</v>
      </c>
      <c r="G10" s="316" t="s">
        <v>960</v>
      </c>
      <c r="H10" s="317">
        <v>45678.0</v>
      </c>
      <c r="I10" s="313" t="s">
        <v>552</v>
      </c>
      <c r="J10" s="318">
        <v>45986.0</v>
      </c>
      <c r="K10" s="313" t="s">
        <v>958</v>
      </c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</row>
    <row r="11" ht="22.5" customHeight="1">
      <c r="A11" s="313">
        <v>10.0</v>
      </c>
      <c r="B11" s="313" t="s">
        <v>949</v>
      </c>
      <c r="C11" s="314" t="s">
        <v>955</v>
      </c>
      <c r="D11" s="315" t="s">
        <v>356</v>
      </c>
      <c r="E11" s="313" t="s">
        <v>355</v>
      </c>
      <c r="F11" s="316" t="s">
        <v>956</v>
      </c>
      <c r="G11" s="316" t="s">
        <v>957</v>
      </c>
      <c r="H11" s="317">
        <v>45678.0</v>
      </c>
      <c r="I11" s="313" t="s">
        <v>567</v>
      </c>
      <c r="J11" s="318">
        <v>45986.0</v>
      </c>
      <c r="K11" s="313" t="s">
        <v>958</v>
      </c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</row>
    <row r="12" ht="22.5" customHeight="1">
      <c r="A12" s="313">
        <v>11.0</v>
      </c>
      <c r="B12" s="313" t="s">
        <v>949</v>
      </c>
      <c r="C12" s="319" t="s">
        <v>950</v>
      </c>
      <c r="D12" s="315" t="s">
        <v>370</v>
      </c>
      <c r="E12" s="313" t="s">
        <v>369</v>
      </c>
      <c r="F12" s="316" t="s">
        <v>962</v>
      </c>
      <c r="G12" s="316" t="s">
        <v>963</v>
      </c>
      <c r="H12" s="317">
        <v>45678.0</v>
      </c>
      <c r="I12" s="313" t="s">
        <v>567</v>
      </c>
      <c r="J12" s="318">
        <v>45986.0</v>
      </c>
      <c r="K12" s="313" t="s">
        <v>958</v>
      </c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</row>
    <row r="13" ht="22.5" customHeight="1">
      <c r="A13" s="313">
        <v>12.0</v>
      </c>
      <c r="B13" s="313" t="s">
        <v>949</v>
      </c>
      <c r="C13" s="314" t="s">
        <v>955</v>
      </c>
      <c r="D13" s="315" t="s">
        <v>383</v>
      </c>
      <c r="E13" s="313" t="s">
        <v>382</v>
      </c>
      <c r="F13" s="316" t="s">
        <v>959</v>
      </c>
      <c r="G13" s="316" t="s">
        <v>960</v>
      </c>
      <c r="H13" s="317">
        <v>45678.0</v>
      </c>
      <c r="I13" s="313" t="s">
        <v>594</v>
      </c>
      <c r="J13" s="318">
        <v>45986.0</v>
      </c>
      <c r="K13" s="313" t="s">
        <v>958</v>
      </c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</row>
    <row r="14" ht="22.5" customHeight="1">
      <c r="A14" s="313">
        <v>13.0</v>
      </c>
      <c r="B14" s="313" t="s">
        <v>949</v>
      </c>
      <c r="C14" s="314" t="s">
        <v>955</v>
      </c>
      <c r="D14" s="315" t="s">
        <v>409</v>
      </c>
      <c r="E14" s="313" t="s">
        <v>408</v>
      </c>
      <c r="F14" s="316" t="s">
        <v>959</v>
      </c>
      <c r="G14" s="316" t="s">
        <v>960</v>
      </c>
      <c r="H14" s="317">
        <v>45678.0</v>
      </c>
      <c r="I14" s="313" t="s">
        <v>567</v>
      </c>
      <c r="J14" s="318">
        <v>45986.0</v>
      </c>
      <c r="K14" s="313" t="s">
        <v>958</v>
      </c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</row>
    <row r="15" ht="22.5" customHeight="1">
      <c r="A15" s="305">
        <v>14.0</v>
      </c>
      <c r="B15" s="305" t="s">
        <v>949</v>
      </c>
      <c r="C15" s="306" t="s">
        <v>950</v>
      </c>
      <c r="D15" s="307" t="s">
        <v>413</v>
      </c>
      <c r="E15" s="305" t="s">
        <v>412</v>
      </c>
      <c r="F15" s="309" t="s">
        <v>959</v>
      </c>
      <c r="G15" s="309" t="s">
        <v>960</v>
      </c>
      <c r="H15" s="310">
        <v>45678.0</v>
      </c>
      <c r="I15" s="305" t="s">
        <v>954</v>
      </c>
      <c r="J15" s="311">
        <v>45986.0</v>
      </c>
      <c r="K15" s="305" t="s">
        <v>964</v>
      </c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</row>
    <row r="16" ht="22.5" customHeight="1">
      <c r="A16" s="313">
        <v>15.0</v>
      </c>
      <c r="B16" s="313" t="s">
        <v>949</v>
      </c>
      <c r="C16" s="314" t="s">
        <v>955</v>
      </c>
      <c r="D16" s="315" t="s">
        <v>439</v>
      </c>
      <c r="E16" s="313" t="s">
        <v>438</v>
      </c>
      <c r="F16" s="316" t="s">
        <v>959</v>
      </c>
      <c r="G16" s="316" t="s">
        <v>960</v>
      </c>
      <c r="H16" s="317">
        <v>45678.0</v>
      </c>
      <c r="I16" s="313" t="s">
        <v>567</v>
      </c>
      <c r="J16" s="318">
        <v>45986.0</v>
      </c>
      <c r="K16" s="313" t="s">
        <v>958</v>
      </c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</row>
    <row r="17" ht="22.5" customHeight="1">
      <c r="A17" s="305">
        <v>16.0</v>
      </c>
      <c r="B17" s="305" t="s">
        <v>949</v>
      </c>
      <c r="C17" s="320" t="s">
        <v>955</v>
      </c>
      <c r="D17" s="307">
        <v>5951.0</v>
      </c>
      <c r="E17" s="305" t="s">
        <v>440</v>
      </c>
      <c r="F17" s="309" t="s">
        <v>956</v>
      </c>
      <c r="G17" s="309" t="s">
        <v>957</v>
      </c>
      <c r="H17" s="310">
        <v>45678.0</v>
      </c>
      <c r="I17" s="305" t="s">
        <v>510</v>
      </c>
      <c r="J17" s="311">
        <v>45986.0</v>
      </c>
      <c r="K17" s="305" t="s">
        <v>510</v>
      </c>
      <c r="L17" s="312"/>
      <c r="M17" s="312"/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</row>
    <row r="18" ht="22.5" customHeight="1">
      <c r="A18" s="313">
        <v>17.0</v>
      </c>
      <c r="B18" s="321" t="s">
        <v>949</v>
      </c>
      <c r="C18" s="130" t="s">
        <v>955</v>
      </c>
      <c r="D18" s="322">
        <v>5218.0</v>
      </c>
      <c r="E18" s="321" t="s">
        <v>442</v>
      </c>
      <c r="F18" s="323" t="s">
        <v>962</v>
      </c>
      <c r="G18" s="323" t="s">
        <v>963</v>
      </c>
      <c r="H18" s="324">
        <v>45678.0</v>
      </c>
      <c r="I18" s="321" t="s">
        <v>594</v>
      </c>
      <c r="J18" s="325">
        <v>45986.0</v>
      </c>
      <c r="K18" s="321" t="s">
        <v>958</v>
      </c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</row>
    <row r="19" ht="22.5" customHeight="1">
      <c r="A19" s="313">
        <v>18.0</v>
      </c>
      <c r="B19" s="321" t="s">
        <v>949</v>
      </c>
      <c r="C19" s="326" t="s">
        <v>950</v>
      </c>
      <c r="D19" s="322" t="s">
        <v>449</v>
      </c>
      <c r="E19" s="321" t="s">
        <v>448</v>
      </c>
      <c r="F19" s="323" t="s">
        <v>959</v>
      </c>
      <c r="G19" s="323" t="s">
        <v>960</v>
      </c>
      <c r="H19" s="324">
        <v>45678.0</v>
      </c>
      <c r="I19" s="321" t="s">
        <v>594</v>
      </c>
      <c r="J19" s="325">
        <v>45986.0</v>
      </c>
      <c r="K19" s="321" t="s">
        <v>958</v>
      </c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</row>
    <row r="20" ht="22.5" customHeight="1">
      <c r="A20" s="327">
        <v>19.0</v>
      </c>
      <c r="B20" s="327" t="s">
        <v>965</v>
      </c>
      <c r="C20" s="328" t="s">
        <v>955</v>
      </c>
      <c r="D20" s="329" t="s">
        <v>966</v>
      </c>
      <c r="E20" s="328" t="s">
        <v>262</v>
      </c>
      <c r="F20" s="330" t="s">
        <v>967</v>
      </c>
      <c r="G20" s="331" t="s">
        <v>968</v>
      </c>
      <c r="H20" s="332">
        <v>45793.0</v>
      </c>
      <c r="I20" s="328" t="s">
        <v>969</v>
      </c>
      <c r="J20" s="333">
        <v>45714.0</v>
      </c>
      <c r="K20" s="333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</row>
    <row r="21" ht="22.5" customHeight="1">
      <c r="A21" s="327">
        <v>20.0</v>
      </c>
      <c r="B21" s="327" t="s">
        <v>965</v>
      </c>
      <c r="C21" s="328" t="s">
        <v>950</v>
      </c>
      <c r="D21" s="329" t="s">
        <v>970</v>
      </c>
      <c r="E21" s="328" t="s">
        <v>266</v>
      </c>
      <c r="F21" s="330" t="s">
        <v>967</v>
      </c>
      <c r="G21" s="331" t="s">
        <v>968</v>
      </c>
      <c r="H21" s="332">
        <v>45793.0</v>
      </c>
      <c r="I21" s="328" t="s">
        <v>969</v>
      </c>
      <c r="J21" s="333">
        <v>45714.0</v>
      </c>
      <c r="K21" s="333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</row>
    <row r="22" ht="22.5" customHeight="1">
      <c r="A22" s="327">
        <v>21.0</v>
      </c>
      <c r="B22" s="327" t="s">
        <v>965</v>
      </c>
      <c r="C22" s="327" t="s">
        <v>955</v>
      </c>
      <c r="D22" s="329" t="s">
        <v>319</v>
      </c>
      <c r="E22" s="328" t="s">
        <v>318</v>
      </c>
      <c r="F22" s="330" t="s">
        <v>971</v>
      </c>
      <c r="G22" s="331" t="s">
        <v>972</v>
      </c>
      <c r="H22" s="332">
        <v>45793.0</v>
      </c>
      <c r="I22" s="328" t="s">
        <v>969</v>
      </c>
      <c r="J22" s="333">
        <v>45714.0</v>
      </c>
      <c r="K22" s="333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</row>
    <row r="23" ht="22.5" customHeight="1">
      <c r="A23" s="327">
        <v>22.0</v>
      </c>
      <c r="B23" s="327" t="s">
        <v>965</v>
      </c>
      <c r="C23" s="327" t="s">
        <v>950</v>
      </c>
      <c r="D23" s="329" t="s">
        <v>343</v>
      </c>
      <c r="E23" s="328" t="s">
        <v>342</v>
      </c>
      <c r="F23" s="330" t="s">
        <v>973</v>
      </c>
      <c r="G23" s="331" t="s">
        <v>974</v>
      </c>
      <c r="H23" s="332">
        <v>45793.0</v>
      </c>
      <c r="I23" s="328" t="s">
        <v>975</v>
      </c>
      <c r="J23" s="333">
        <v>45714.0</v>
      </c>
      <c r="K23" s="333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</row>
    <row r="24" ht="22.5" customHeight="1">
      <c r="A24" s="327">
        <v>23.0</v>
      </c>
      <c r="B24" s="327" t="s">
        <v>965</v>
      </c>
      <c r="C24" s="327" t="s">
        <v>950</v>
      </c>
      <c r="D24" s="329" t="s">
        <v>351</v>
      </c>
      <c r="E24" s="328" t="s">
        <v>350</v>
      </c>
      <c r="F24" s="330" t="s">
        <v>971</v>
      </c>
      <c r="G24" s="331" t="s">
        <v>972</v>
      </c>
      <c r="H24" s="332">
        <v>45793.0</v>
      </c>
      <c r="I24" s="328" t="s">
        <v>975</v>
      </c>
      <c r="J24" s="333">
        <v>45714.0</v>
      </c>
      <c r="K24" s="333"/>
      <c r="L24" s="312"/>
      <c r="M24" s="312"/>
      <c r="N24" s="312"/>
      <c r="O24" s="312"/>
      <c r="P24" s="312"/>
      <c r="Q24" s="312"/>
      <c r="R24" s="312"/>
      <c r="S24" s="312"/>
      <c r="T24" s="312"/>
      <c r="U24" s="312"/>
      <c r="V24" s="312"/>
      <c r="W24" s="312"/>
      <c r="X24" s="312"/>
      <c r="Y24" s="312"/>
      <c r="Z24" s="312"/>
    </row>
    <row r="25" ht="22.5" customHeight="1">
      <c r="A25" s="327">
        <v>24.0</v>
      </c>
      <c r="B25" s="327" t="s">
        <v>965</v>
      </c>
      <c r="C25" s="327" t="s">
        <v>950</v>
      </c>
      <c r="D25" s="329" t="s">
        <v>361</v>
      </c>
      <c r="E25" s="328" t="s">
        <v>360</v>
      </c>
      <c r="F25" s="330" t="s">
        <v>976</v>
      </c>
      <c r="G25" s="331" t="s">
        <v>977</v>
      </c>
      <c r="H25" s="332">
        <v>45793.0</v>
      </c>
      <c r="I25" s="328" t="s">
        <v>969</v>
      </c>
      <c r="J25" s="333">
        <v>45714.0</v>
      </c>
      <c r="K25" s="333"/>
      <c r="L25" s="312"/>
      <c r="M25" s="312"/>
      <c r="N25" s="312"/>
      <c r="O25" s="312"/>
      <c r="P25" s="312"/>
      <c r="Q25" s="312"/>
      <c r="R25" s="312"/>
      <c r="S25" s="312"/>
      <c r="T25" s="312"/>
      <c r="U25" s="312"/>
      <c r="V25" s="312"/>
      <c r="W25" s="312"/>
      <c r="X25" s="312"/>
      <c r="Y25" s="312"/>
      <c r="Z25" s="312"/>
    </row>
    <row r="26" ht="22.5" customHeight="1">
      <c r="A26" s="327">
        <v>25.0</v>
      </c>
      <c r="B26" s="327" t="s">
        <v>965</v>
      </c>
      <c r="C26" s="327" t="s">
        <v>955</v>
      </c>
      <c r="D26" s="329" t="s">
        <v>379</v>
      </c>
      <c r="E26" s="328" t="s">
        <v>378</v>
      </c>
      <c r="F26" s="330" t="s">
        <v>971</v>
      </c>
      <c r="G26" s="331" t="s">
        <v>972</v>
      </c>
      <c r="H26" s="332">
        <v>45793.0</v>
      </c>
      <c r="I26" s="328" t="s">
        <v>975</v>
      </c>
      <c r="J26" s="333">
        <v>45714.0</v>
      </c>
      <c r="K26" s="333"/>
    </row>
    <row r="27" ht="22.5" customHeight="1">
      <c r="A27" s="327">
        <v>26.0</v>
      </c>
      <c r="B27" s="327" t="s">
        <v>965</v>
      </c>
      <c r="C27" s="327" t="s">
        <v>950</v>
      </c>
      <c r="D27" s="329" t="s">
        <v>386</v>
      </c>
      <c r="E27" s="328" t="s">
        <v>385</v>
      </c>
      <c r="F27" s="330" t="s">
        <v>967</v>
      </c>
      <c r="G27" s="331" t="s">
        <v>968</v>
      </c>
      <c r="H27" s="332">
        <v>45793.0</v>
      </c>
      <c r="I27" s="328" t="s">
        <v>975</v>
      </c>
      <c r="J27" s="333">
        <v>45714.0</v>
      </c>
      <c r="K27" s="333"/>
    </row>
  </sheetData>
  <dataValidations>
    <dataValidation type="custom" allowBlank="1" showDropDown="1" sqref="H2:H27">
      <formula1>OR(NOT(ISERROR(DATEVALUE(H2))), AND(ISNUMBER(H2), LEFT(CELL("format", H2))="D"))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hidden="1" min="2" max="2" width="12.63"/>
    <col customWidth="1" min="3" max="3" width="12.75"/>
    <col hidden="1" min="4" max="5" width="12.63"/>
    <col customWidth="1" hidden="1" min="6" max="6" width="13.75"/>
    <col customWidth="1" min="7" max="7" width="20.75"/>
    <col customWidth="1" min="8" max="8" width="15.63"/>
    <col customWidth="1" min="9" max="9" width="19.75"/>
  </cols>
  <sheetData>
    <row r="1" ht="22.5" customHeight="1">
      <c r="A1" s="334" t="s">
        <v>978</v>
      </c>
      <c r="B1" s="335" t="s">
        <v>979</v>
      </c>
      <c r="C1" s="336" t="s">
        <v>942</v>
      </c>
      <c r="D1" s="337" t="s">
        <v>980</v>
      </c>
      <c r="E1" s="337" t="s">
        <v>981</v>
      </c>
      <c r="F1" s="337" t="s">
        <v>982</v>
      </c>
      <c r="G1" s="337" t="s">
        <v>728</v>
      </c>
      <c r="H1" s="338" t="s">
        <v>983</v>
      </c>
      <c r="I1" s="339" t="s">
        <v>984</v>
      </c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</row>
    <row r="2" ht="22.5" customHeight="1">
      <c r="A2" s="340">
        <v>1.0</v>
      </c>
      <c r="B2" s="341">
        <v>160.0</v>
      </c>
      <c r="C2" s="342">
        <v>5969.0</v>
      </c>
      <c r="D2" s="343"/>
      <c r="E2" s="344" t="s">
        <v>985</v>
      </c>
      <c r="F2" s="343" t="s">
        <v>986</v>
      </c>
      <c r="G2" s="345" t="s">
        <v>987</v>
      </c>
      <c r="H2" s="345" t="s">
        <v>311</v>
      </c>
      <c r="I2" s="336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</row>
    <row r="3" ht="22.5" hidden="1" customHeight="1">
      <c r="A3" s="340">
        <v>2.0</v>
      </c>
      <c r="B3" s="341">
        <v>187.0</v>
      </c>
      <c r="C3" s="342">
        <v>187.0</v>
      </c>
      <c r="D3" s="343" t="s">
        <v>988</v>
      </c>
      <c r="E3" s="344" t="s">
        <v>989</v>
      </c>
      <c r="F3" s="343" t="s">
        <v>986</v>
      </c>
      <c r="G3" s="345" t="s">
        <v>990</v>
      </c>
      <c r="H3" s="346"/>
      <c r="I3" s="346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</row>
    <row r="4" ht="22.5" hidden="1" customHeight="1">
      <c r="A4" s="340">
        <v>3.0</v>
      </c>
      <c r="B4" s="341">
        <v>188.0</v>
      </c>
      <c r="C4" s="342" t="s">
        <v>231</v>
      </c>
      <c r="D4" s="343" t="s">
        <v>991</v>
      </c>
      <c r="E4" s="344" t="s">
        <v>992</v>
      </c>
      <c r="F4" s="343" t="s">
        <v>986</v>
      </c>
      <c r="G4" s="345" t="s">
        <v>993</v>
      </c>
      <c r="H4" s="345" t="s">
        <v>994</v>
      </c>
      <c r="I4" s="336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</row>
    <row r="5" ht="22.5" hidden="1" customHeight="1">
      <c r="A5" s="340">
        <v>4.0</v>
      </c>
      <c r="B5" s="347">
        <v>202.0</v>
      </c>
      <c r="C5" s="342">
        <v>202.0</v>
      </c>
      <c r="D5" s="343" t="s">
        <v>995</v>
      </c>
      <c r="E5" s="344" t="s">
        <v>992</v>
      </c>
      <c r="F5" s="343" t="s">
        <v>986</v>
      </c>
      <c r="G5" s="345" t="s">
        <v>990</v>
      </c>
      <c r="H5" s="346"/>
      <c r="I5" s="346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</row>
    <row r="6" ht="22.5" hidden="1" customHeight="1">
      <c r="A6" s="348">
        <v>5.0</v>
      </c>
      <c r="B6" s="341">
        <v>238.0</v>
      </c>
      <c r="C6" s="343"/>
      <c r="D6" s="343"/>
      <c r="E6" s="344" t="s">
        <v>311</v>
      </c>
      <c r="F6" s="343" t="s">
        <v>553</v>
      </c>
      <c r="G6" s="343" t="s">
        <v>82</v>
      </c>
      <c r="H6" s="343"/>
      <c r="I6" s="343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</row>
    <row r="7" ht="22.5" hidden="1" customHeight="1">
      <c r="A7" s="340">
        <v>5.0</v>
      </c>
      <c r="B7" s="341">
        <v>245.0</v>
      </c>
      <c r="C7" s="342" t="s">
        <v>996</v>
      </c>
      <c r="D7" s="343" t="s">
        <v>997</v>
      </c>
      <c r="E7" s="344" t="s">
        <v>992</v>
      </c>
      <c r="F7" s="343" t="s">
        <v>986</v>
      </c>
      <c r="G7" s="345" t="s">
        <v>998</v>
      </c>
      <c r="H7" s="345" t="s">
        <v>994</v>
      </c>
      <c r="I7" s="336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</row>
    <row r="8" ht="22.5" customHeight="1">
      <c r="A8" s="340">
        <v>6.0</v>
      </c>
      <c r="B8" s="341">
        <v>267.0</v>
      </c>
      <c r="C8" s="342" t="s">
        <v>234</v>
      </c>
      <c r="D8" s="343" t="s">
        <v>999</v>
      </c>
      <c r="E8" s="344" t="s">
        <v>989</v>
      </c>
      <c r="F8" s="343" t="s">
        <v>986</v>
      </c>
      <c r="G8" s="345" t="s">
        <v>1000</v>
      </c>
      <c r="H8" s="345" t="s">
        <v>311</v>
      </c>
      <c r="I8" s="336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</row>
    <row r="9" ht="22.5" hidden="1" customHeight="1">
      <c r="A9" s="340">
        <v>7.0</v>
      </c>
      <c r="B9" s="341">
        <v>271.0</v>
      </c>
      <c r="C9" s="342" t="s">
        <v>244</v>
      </c>
      <c r="D9" s="343"/>
      <c r="E9" s="344" t="s">
        <v>985</v>
      </c>
      <c r="F9" s="343" t="s">
        <v>986</v>
      </c>
      <c r="G9" s="345" t="s">
        <v>1000</v>
      </c>
      <c r="H9" s="345" t="s">
        <v>994</v>
      </c>
      <c r="I9" s="336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</row>
    <row r="10" ht="22.5" hidden="1" customHeight="1">
      <c r="A10" s="348">
        <v>9.0</v>
      </c>
      <c r="B10" s="341">
        <v>4832.0</v>
      </c>
      <c r="C10" s="343"/>
      <c r="D10" s="343"/>
      <c r="E10" s="344" t="s">
        <v>989</v>
      </c>
      <c r="F10" s="343" t="s">
        <v>990</v>
      </c>
      <c r="G10" s="343" t="s">
        <v>1001</v>
      </c>
      <c r="H10" s="343"/>
      <c r="I10" s="343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</row>
    <row r="11" ht="22.5" hidden="1" customHeight="1">
      <c r="A11" s="348">
        <v>10.0</v>
      </c>
      <c r="B11" s="341">
        <v>4833.0</v>
      </c>
      <c r="C11" s="343"/>
      <c r="D11" s="343"/>
      <c r="E11" s="344" t="s">
        <v>989</v>
      </c>
      <c r="F11" s="343" t="s">
        <v>990</v>
      </c>
      <c r="G11" s="343" t="s">
        <v>1001</v>
      </c>
      <c r="H11" s="343"/>
      <c r="I11" s="343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</row>
    <row r="12" ht="22.5" hidden="1" customHeight="1">
      <c r="A12" s="340">
        <v>8.0</v>
      </c>
      <c r="B12" s="341">
        <v>5075.0</v>
      </c>
      <c r="C12" s="342" t="s">
        <v>246</v>
      </c>
      <c r="D12" s="343"/>
      <c r="E12" s="344" t="s">
        <v>992</v>
      </c>
      <c r="F12" s="343" t="s">
        <v>986</v>
      </c>
      <c r="G12" s="345" t="s">
        <v>1000</v>
      </c>
      <c r="H12" s="345" t="s">
        <v>994</v>
      </c>
      <c r="I12" s="336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</row>
    <row r="13" ht="22.5" hidden="1" customHeight="1">
      <c r="A13" s="348">
        <v>12.0</v>
      </c>
      <c r="B13" s="341">
        <v>5231.0</v>
      </c>
      <c r="C13" s="343"/>
      <c r="D13" s="343" t="s">
        <v>1002</v>
      </c>
      <c r="E13" s="344" t="s">
        <v>989</v>
      </c>
      <c r="F13" s="343" t="s">
        <v>990</v>
      </c>
      <c r="G13" s="343" t="s">
        <v>1001</v>
      </c>
      <c r="H13" s="343"/>
      <c r="I13" s="343"/>
      <c r="J13" s="204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</row>
    <row r="14" ht="22.5" hidden="1" customHeight="1">
      <c r="A14" s="340">
        <v>9.0</v>
      </c>
      <c r="B14" s="341">
        <v>5782.0</v>
      </c>
      <c r="C14" s="342" t="s">
        <v>248</v>
      </c>
      <c r="D14" s="343"/>
      <c r="E14" s="344" t="s">
        <v>989</v>
      </c>
      <c r="F14" s="343" t="s">
        <v>986</v>
      </c>
      <c r="G14" s="345" t="s">
        <v>1000</v>
      </c>
      <c r="H14" s="345" t="s">
        <v>994</v>
      </c>
      <c r="I14" s="336"/>
      <c r="J14" s="204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</row>
    <row r="15" ht="22.5" hidden="1" customHeight="1">
      <c r="A15" s="348">
        <v>14.0</v>
      </c>
      <c r="B15" s="341">
        <v>5885.0</v>
      </c>
      <c r="C15" s="343"/>
      <c r="D15" s="343"/>
      <c r="E15" s="344" t="s">
        <v>989</v>
      </c>
      <c r="F15" s="343" t="s">
        <v>990</v>
      </c>
      <c r="G15" s="343" t="s">
        <v>1001</v>
      </c>
      <c r="H15" s="343"/>
      <c r="I15" s="343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</row>
    <row r="16" ht="22.5" hidden="1" customHeight="1">
      <c r="A16" s="348">
        <v>15.0</v>
      </c>
      <c r="B16" s="341">
        <v>5957.0</v>
      </c>
      <c r="C16" s="343"/>
      <c r="D16" s="343" t="s">
        <v>1003</v>
      </c>
      <c r="E16" s="344" t="s">
        <v>989</v>
      </c>
      <c r="F16" s="343" t="s">
        <v>990</v>
      </c>
      <c r="G16" s="343" t="s">
        <v>1001</v>
      </c>
      <c r="H16" s="343"/>
      <c r="I16" s="343"/>
      <c r="J16" s="204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</row>
    <row r="17" ht="22.5" hidden="1" customHeight="1">
      <c r="A17" s="340">
        <v>10.0</v>
      </c>
      <c r="B17" s="341">
        <v>5969.0</v>
      </c>
      <c r="C17" s="342" t="s">
        <v>259</v>
      </c>
      <c r="D17" s="343" t="s">
        <v>1004</v>
      </c>
      <c r="E17" s="344" t="s">
        <v>989</v>
      </c>
      <c r="F17" s="343" t="s">
        <v>986</v>
      </c>
      <c r="G17" s="345" t="s">
        <v>993</v>
      </c>
      <c r="H17" s="345" t="s">
        <v>994</v>
      </c>
      <c r="I17" s="336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</row>
    <row r="18" ht="22.5" hidden="1" customHeight="1">
      <c r="A18" s="348">
        <v>17.0</v>
      </c>
      <c r="B18" s="341">
        <v>6016.0</v>
      </c>
      <c r="C18" s="343"/>
      <c r="D18" s="343"/>
      <c r="E18" s="344" t="s">
        <v>989</v>
      </c>
      <c r="F18" s="343" t="s">
        <v>990</v>
      </c>
      <c r="G18" s="343" t="s">
        <v>1001</v>
      </c>
      <c r="H18" s="343"/>
      <c r="I18" s="343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</row>
    <row r="19" ht="22.5" hidden="1" customHeight="1">
      <c r="A19" s="348">
        <v>18.0</v>
      </c>
      <c r="B19" s="341">
        <v>6219.0</v>
      </c>
      <c r="C19" s="343"/>
      <c r="D19" s="343"/>
      <c r="E19" s="344" t="s">
        <v>989</v>
      </c>
      <c r="F19" s="343" t="s">
        <v>990</v>
      </c>
      <c r="G19" s="343" t="s">
        <v>1001</v>
      </c>
      <c r="H19" s="343"/>
      <c r="I19" s="343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</row>
    <row r="20" ht="22.5" hidden="1" customHeight="1">
      <c r="A20" s="348">
        <v>19.0</v>
      </c>
      <c r="B20" s="341">
        <v>6221.0</v>
      </c>
      <c r="C20" s="343"/>
      <c r="D20" s="343"/>
      <c r="E20" s="344" t="s">
        <v>989</v>
      </c>
      <c r="F20" s="343" t="s">
        <v>990</v>
      </c>
      <c r="G20" s="343" t="s">
        <v>1001</v>
      </c>
      <c r="H20" s="343"/>
      <c r="I20" s="343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</row>
    <row r="21" ht="22.5" hidden="1" customHeight="1">
      <c r="A21" s="340">
        <v>11.0</v>
      </c>
      <c r="B21" s="341">
        <v>6376.0</v>
      </c>
      <c r="C21" s="342" t="s">
        <v>260</v>
      </c>
      <c r="D21" s="343" t="s">
        <v>1005</v>
      </c>
      <c r="E21" s="344" t="s">
        <v>985</v>
      </c>
      <c r="F21" s="343" t="s">
        <v>986</v>
      </c>
      <c r="G21" s="345" t="s">
        <v>993</v>
      </c>
      <c r="H21" s="345" t="s">
        <v>994</v>
      </c>
      <c r="I21" s="336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</row>
    <row r="22" ht="22.5" hidden="1" customHeight="1">
      <c r="A22" s="348">
        <v>21.0</v>
      </c>
      <c r="B22" s="341">
        <v>6462.0</v>
      </c>
      <c r="C22" s="343"/>
      <c r="D22" s="343" t="s">
        <v>1006</v>
      </c>
      <c r="E22" s="344" t="s">
        <v>989</v>
      </c>
      <c r="F22" s="343" t="s">
        <v>990</v>
      </c>
      <c r="G22" s="343" t="s">
        <v>1001</v>
      </c>
      <c r="H22" s="343"/>
      <c r="I22" s="343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5"/>
    </row>
    <row r="23" ht="22.5" hidden="1" customHeight="1">
      <c r="A23" s="348">
        <v>22.0</v>
      </c>
      <c r="B23" s="341">
        <v>6490.0</v>
      </c>
      <c r="C23" s="343"/>
      <c r="D23" s="343"/>
      <c r="E23" s="344" t="s">
        <v>989</v>
      </c>
      <c r="F23" s="343" t="s">
        <v>990</v>
      </c>
      <c r="G23" s="343" t="s">
        <v>1001</v>
      </c>
      <c r="H23" s="343"/>
      <c r="I23" s="343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</row>
    <row r="24" ht="22.5" hidden="1" customHeight="1">
      <c r="A24" s="348">
        <v>23.0</v>
      </c>
      <c r="B24" s="341">
        <v>6536.0</v>
      </c>
      <c r="C24" s="343"/>
      <c r="D24" s="343"/>
      <c r="E24" s="344" t="s">
        <v>989</v>
      </c>
      <c r="F24" s="343" t="s">
        <v>990</v>
      </c>
      <c r="G24" s="343" t="s">
        <v>1001</v>
      </c>
      <c r="H24" s="343"/>
      <c r="I24" s="343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</row>
    <row r="25" ht="22.5" customHeight="1">
      <c r="A25" s="340">
        <v>12.0</v>
      </c>
      <c r="B25" s="341" t="s">
        <v>1007</v>
      </c>
      <c r="C25" s="342" t="s">
        <v>263</v>
      </c>
      <c r="D25" s="343"/>
      <c r="E25" s="344" t="s">
        <v>989</v>
      </c>
      <c r="F25" s="343" t="s">
        <v>986</v>
      </c>
      <c r="G25" s="345" t="s">
        <v>987</v>
      </c>
      <c r="H25" s="345" t="s">
        <v>311</v>
      </c>
      <c r="I25" s="336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</row>
    <row r="26" ht="22.5" hidden="1" customHeight="1">
      <c r="A26" s="340">
        <v>13.0</v>
      </c>
      <c r="B26" s="341" t="s">
        <v>1008</v>
      </c>
      <c r="C26" s="342" t="s">
        <v>272</v>
      </c>
      <c r="D26" s="343"/>
      <c r="E26" s="344" t="s">
        <v>989</v>
      </c>
      <c r="F26" s="343" t="s">
        <v>986</v>
      </c>
      <c r="G26" s="345" t="s">
        <v>993</v>
      </c>
      <c r="H26" s="345" t="s">
        <v>994</v>
      </c>
      <c r="I26" s="336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</row>
    <row r="27" ht="22.5" hidden="1" customHeight="1">
      <c r="A27" s="340">
        <v>14.0</v>
      </c>
      <c r="B27" s="341" t="s">
        <v>1009</v>
      </c>
      <c r="C27" s="342" t="s">
        <v>274</v>
      </c>
      <c r="D27" s="343" t="s">
        <v>1010</v>
      </c>
      <c r="E27" s="344" t="s">
        <v>985</v>
      </c>
      <c r="F27" s="343" t="s">
        <v>986</v>
      </c>
      <c r="G27" s="345" t="s">
        <v>977</v>
      </c>
      <c r="H27" s="345" t="s">
        <v>994</v>
      </c>
      <c r="I27" s="336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</row>
    <row r="28" ht="22.5" customHeight="1">
      <c r="A28" s="340">
        <v>15.0</v>
      </c>
      <c r="B28" s="341" t="s">
        <v>1011</v>
      </c>
      <c r="C28" s="342" t="s">
        <v>277</v>
      </c>
      <c r="D28" s="343" t="s">
        <v>1012</v>
      </c>
      <c r="E28" s="344" t="s">
        <v>992</v>
      </c>
      <c r="F28" s="343" t="s">
        <v>986</v>
      </c>
      <c r="G28" s="345" t="s">
        <v>993</v>
      </c>
      <c r="H28" s="345" t="s">
        <v>311</v>
      </c>
      <c r="I28" s="336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</row>
    <row r="29" ht="22.5" hidden="1" customHeight="1">
      <c r="A29" s="340">
        <v>16.0</v>
      </c>
      <c r="B29" s="341" t="s">
        <v>1013</v>
      </c>
      <c r="C29" s="342" t="s">
        <v>236</v>
      </c>
      <c r="D29" s="343" t="s">
        <v>1014</v>
      </c>
      <c r="E29" s="344" t="s">
        <v>989</v>
      </c>
      <c r="F29" s="343" t="s">
        <v>986</v>
      </c>
      <c r="G29" s="345" t="s">
        <v>990</v>
      </c>
      <c r="H29" s="346"/>
      <c r="I29" s="346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</row>
    <row r="30" ht="22.5" hidden="1" customHeight="1">
      <c r="A30" s="340">
        <v>17.0</v>
      </c>
      <c r="B30" s="341" t="s">
        <v>1015</v>
      </c>
      <c r="C30" s="342" t="s">
        <v>238</v>
      </c>
      <c r="D30" s="343" t="s">
        <v>1016</v>
      </c>
      <c r="E30" s="344" t="s">
        <v>989</v>
      </c>
      <c r="F30" s="343" t="s">
        <v>986</v>
      </c>
      <c r="G30" s="345" t="s">
        <v>990</v>
      </c>
      <c r="H30" s="346"/>
      <c r="I30" s="346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</row>
    <row r="31" ht="22.5" hidden="1" customHeight="1">
      <c r="A31" s="340">
        <v>18.0</v>
      </c>
      <c r="B31" s="341" t="s">
        <v>1017</v>
      </c>
      <c r="C31" s="342" t="s">
        <v>240</v>
      </c>
      <c r="D31" s="343" t="s">
        <v>1018</v>
      </c>
      <c r="E31" s="344" t="s">
        <v>989</v>
      </c>
      <c r="F31" s="343" t="s">
        <v>986</v>
      </c>
      <c r="G31" s="345" t="s">
        <v>990</v>
      </c>
      <c r="H31" s="346"/>
      <c r="I31" s="346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</row>
    <row r="32" ht="22.5" hidden="1" customHeight="1">
      <c r="A32" s="340">
        <v>19.0</v>
      </c>
      <c r="B32" s="341" t="s">
        <v>1019</v>
      </c>
      <c r="C32" s="342" t="s">
        <v>241</v>
      </c>
      <c r="D32" s="343" t="s">
        <v>1020</v>
      </c>
      <c r="E32" s="344" t="s">
        <v>989</v>
      </c>
      <c r="F32" s="343" t="s">
        <v>986</v>
      </c>
      <c r="G32" s="345" t="s">
        <v>990</v>
      </c>
      <c r="H32" s="346"/>
      <c r="I32" s="346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</row>
    <row r="33" ht="22.5" hidden="1" customHeight="1">
      <c r="A33" s="340">
        <v>20.0</v>
      </c>
      <c r="B33" s="341" t="s">
        <v>1021</v>
      </c>
      <c r="C33" s="342" t="s">
        <v>243</v>
      </c>
      <c r="D33" s="343" t="s">
        <v>1022</v>
      </c>
      <c r="E33" s="344" t="s">
        <v>989</v>
      </c>
      <c r="F33" s="343" t="s">
        <v>986</v>
      </c>
      <c r="G33" s="345" t="s">
        <v>990</v>
      </c>
      <c r="H33" s="346"/>
      <c r="I33" s="346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</row>
    <row r="34" ht="22.5" customHeight="1">
      <c r="A34" s="340">
        <v>21.0</v>
      </c>
      <c r="B34" s="341" t="s">
        <v>1023</v>
      </c>
      <c r="C34" s="342" t="s">
        <v>330</v>
      </c>
      <c r="D34" s="343" t="s">
        <v>1024</v>
      </c>
      <c r="E34" s="344" t="s">
        <v>989</v>
      </c>
      <c r="F34" s="343" t="s">
        <v>986</v>
      </c>
      <c r="G34" s="345" t="s">
        <v>977</v>
      </c>
      <c r="H34" s="345" t="s">
        <v>311</v>
      </c>
      <c r="I34" s="349" t="s">
        <v>331</v>
      </c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</row>
    <row r="35" ht="22.5" hidden="1" customHeight="1">
      <c r="A35" s="340">
        <v>22.0</v>
      </c>
      <c r="B35" s="341" t="s">
        <v>1025</v>
      </c>
      <c r="C35" s="342" t="s">
        <v>245</v>
      </c>
      <c r="D35" s="343" t="s">
        <v>1026</v>
      </c>
      <c r="E35" s="344" t="s">
        <v>989</v>
      </c>
      <c r="F35" s="343" t="s">
        <v>986</v>
      </c>
      <c r="G35" s="345" t="s">
        <v>990</v>
      </c>
      <c r="H35" s="346"/>
      <c r="I35" s="346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</row>
    <row r="36" ht="22.5" customHeight="1">
      <c r="A36" s="340">
        <v>23.0</v>
      </c>
      <c r="B36" s="341" t="s">
        <v>1027</v>
      </c>
      <c r="C36" s="342" t="s">
        <v>334</v>
      </c>
      <c r="D36" s="343" t="s">
        <v>1028</v>
      </c>
      <c r="E36" s="344" t="s">
        <v>992</v>
      </c>
      <c r="F36" s="343" t="s">
        <v>986</v>
      </c>
      <c r="G36" s="345" t="s">
        <v>977</v>
      </c>
      <c r="H36" s="345" t="s">
        <v>311</v>
      </c>
      <c r="I36" s="349" t="s">
        <v>335</v>
      </c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</row>
    <row r="37" ht="22.5" hidden="1" customHeight="1">
      <c r="A37" s="340">
        <v>24.0</v>
      </c>
      <c r="B37" s="341" t="s">
        <v>1029</v>
      </c>
      <c r="C37" s="342" t="s">
        <v>391</v>
      </c>
      <c r="D37" s="343" t="s">
        <v>1030</v>
      </c>
      <c r="E37" s="344" t="s">
        <v>989</v>
      </c>
      <c r="F37" s="343" t="s">
        <v>986</v>
      </c>
      <c r="G37" s="345" t="s">
        <v>993</v>
      </c>
      <c r="H37" s="345" t="s">
        <v>994</v>
      </c>
      <c r="I37" s="349">
        <v>6376.0</v>
      </c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</row>
    <row r="38" ht="22.5" hidden="1" customHeight="1">
      <c r="A38" s="340">
        <v>25.0</v>
      </c>
      <c r="B38" s="347" t="s">
        <v>1031</v>
      </c>
      <c r="C38" s="342" t="s">
        <v>249</v>
      </c>
      <c r="D38" s="343" t="s">
        <v>1032</v>
      </c>
      <c r="E38" s="344" t="s">
        <v>989</v>
      </c>
      <c r="F38" s="343" t="s">
        <v>986</v>
      </c>
      <c r="G38" s="345" t="s">
        <v>990</v>
      </c>
      <c r="H38" s="346"/>
      <c r="I38" s="346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</row>
    <row r="39" ht="22.5" hidden="1" customHeight="1">
      <c r="A39" s="340">
        <v>26.0</v>
      </c>
      <c r="B39" s="341" t="s">
        <v>1033</v>
      </c>
      <c r="C39" s="342" t="s">
        <v>250</v>
      </c>
      <c r="D39" s="343"/>
      <c r="E39" s="344" t="s">
        <v>985</v>
      </c>
      <c r="F39" s="343" t="s">
        <v>986</v>
      </c>
      <c r="G39" s="345" t="s">
        <v>990</v>
      </c>
      <c r="H39" s="346"/>
      <c r="I39" s="346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</row>
    <row r="40" ht="22.5" hidden="1" customHeight="1">
      <c r="A40" s="348">
        <v>39.0</v>
      </c>
      <c r="B40" s="341" t="s">
        <v>1034</v>
      </c>
      <c r="C40" s="343"/>
      <c r="D40" s="343"/>
      <c r="E40" s="344" t="s">
        <v>311</v>
      </c>
      <c r="F40" s="343" t="s">
        <v>990</v>
      </c>
      <c r="G40" s="343" t="s">
        <v>205</v>
      </c>
      <c r="H40" s="343"/>
      <c r="I40" s="343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</row>
    <row r="41" ht="22.5" hidden="1" customHeight="1">
      <c r="A41" s="340">
        <v>27.0</v>
      </c>
      <c r="B41" s="341" t="s">
        <v>1035</v>
      </c>
      <c r="C41" s="342" t="s">
        <v>251</v>
      </c>
      <c r="D41" s="343" t="s">
        <v>1036</v>
      </c>
      <c r="E41" s="344" t="s">
        <v>989</v>
      </c>
      <c r="F41" s="343" t="s">
        <v>986</v>
      </c>
      <c r="G41" s="345" t="s">
        <v>990</v>
      </c>
      <c r="H41" s="346"/>
      <c r="I41" s="346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</row>
    <row r="42" ht="22.5" hidden="1" customHeight="1">
      <c r="A42" s="340">
        <v>28.0</v>
      </c>
      <c r="B42" s="341" t="s">
        <v>1037</v>
      </c>
      <c r="C42" s="342" t="s">
        <v>252</v>
      </c>
      <c r="D42" s="343" t="s">
        <v>1038</v>
      </c>
      <c r="E42" s="344" t="s">
        <v>989</v>
      </c>
      <c r="F42" s="343" t="s">
        <v>986</v>
      </c>
      <c r="G42" s="345" t="s">
        <v>990</v>
      </c>
      <c r="H42" s="346"/>
      <c r="I42" s="346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</row>
    <row r="43" ht="22.5" hidden="1" customHeight="1">
      <c r="A43" s="340">
        <v>29.0</v>
      </c>
      <c r="B43" s="347" t="s">
        <v>1039</v>
      </c>
      <c r="C43" s="342" t="s">
        <v>253</v>
      </c>
      <c r="D43" s="343" t="s">
        <v>1040</v>
      </c>
      <c r="E43" s="344" t="s">
        <v>989</v>
      </c>
      <c r="F43" s="343" t="s">
        <v>986</v>
      </c>
      <c r="G43" s="345" t="s">
        <v>990</v>
      </c>
      <c r="H43" s="346"/>
      <c r="I43" s="346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</row>
    <row r="44" ht="22.5" hidden="1" customHeight="1">
      <c r="A44" s="348">
        <v>43.0</v>
      </c>
      <c r="B44" s="341" t="s">
        <v>1041</v>
      </c>
      <c r="C44" s="343"/>
      <c r="D44" s="343"/>
      <c r="E44" s="344" t="s">
        <v>989</v>
      </c>
      <c r="F44" s="343" t="s">
        <v>990</v>
      </c>
      <c r="G44" s="343" t="s">
        <v>1001</v>
      </c>
      <c r="H44" s="343"/>
      <c r="I44" s="343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</row>
    <row r="45" ht="22.5" hidden="1" customHeight="1">
      <c r="A45" s="340">
        <v>30.0</v>
      </c>
      <c r="B45" s="341" t="s">
        <v>1042</v>
      </c>
      <c r="C45" s="342" t="s">
        <v>254</v>
      </c>
      <c r="D45" s="343" t="s">
        <v>1043</v>
      </c>
      <c r="E45" s="344" t="s">
        <v>989</v>
      </c>
      <c r="F45" s="343" t="s">
        <v>986</v>
      </c>
      <c r="G45" s="345" t="s">
        <v>990</v>
      </c>
      <c r="H45" s="346"/>
      <c r="I45" s="346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</row>
    <row r="46" ht="22.5" hidden="1" customHeight="1">
      <c r="A46" s="340">
        <v>31.0</v>
      </c>
      <c r="B46" s="341" t="s">
        <v>1044</v>
      </c>
      <c r="C46" s="342" t="s">
        <v>255</v>
      </c>
      <c r="D46" s="343" t="s">
        <v>1045</v>
      </c>
      <c r="E46" s="344" t="s">
        <v>989</v>
      </c>
      <c r="F46" s="343" t="s">
        <v>986</v>
      </c>
      <c r="G46" s="345" t="s">
        <v>990</v>
      </c>
      <c r="H46" s="346"/>
      <c r="I46" s="346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</row>
    <row r="47" ht="22.5" hidden="1" customHeight="1">
      <c r="A47" s="340">
        <v>32.0</v>
      </c>
      <c r="B47" s="341" t="s">
        <v>1046</v>
      </c>
      <c r="C47" s="342" t="s">
        <v>257</v>
      </c>
      <c r="D47" s="343" t="s">
        <v>1047</v>
      </c>
      <c r="E47" s="344" t="s">
        <v>985</v>
      </c>
      <c r="F47" s="343" t="s">
        <v>986</v>
      </c>
      <c r="G47" s="345" t="s">
        <v>990</v>
      </c>
      <c r="H47" s="346"/>
      <c r="I47" s="346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</row>
    <row r="48" ht="22.5" hidden="1" customHeight="1">
      <c r="A48" s="340">
        <v>33.0</v>
      </c>
      <c r="B48" s="341" t="s">
        <v>1048</v>
      </c>
      <c r="C48" s="342" t="s">
        <v>392</v>
      </c>
      <c r="D48" s="343" t="s">
        <v>1049</v>
      </c>
      <c r="E48" s="344" t="s">
        <v>989</v>
      </c>
      <c r="F48" s="343" t="s">
        <v>986</v>
      </c>
      <c r="G48" s="345" t="s">
        <v>977</v>
      </c>
      <c r="H48" s="345" t="s">
        <v>994</v>
      </c>
      <c r="I48" s="349">
        <v>5782.0</v>
      </c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</row>
    <row r="49" ht="22.5" hidden="1" customHeight="1">
      <c r="A49" s="340">
        <v>34.0</v>
      </c>
      <c r="B49" s="341" t="s">
        <v>1050</v>
      </c>
      <c r="C49" s="342" t="s">
        <v>1051</v>
      </c>
      <c r="D49" s="343" t="s">
        <v>1052</v>
      </c>
      <c r="E49" s="344" t="s">
        <v>992</v>
      </c>
      <c r="F49" s="343" t="s">
        <v>986</v>
      </c>
      <c r="G49" s="345" t="s">
        <v>990</v>
      </c>
      <c r="H49" s="346"/>
      <c r="I49" s="346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95"/>
    </row>
    <row r="50" ht="22.5" hidden="1" customHeight="1">
      <c r="A50" s="340">
        <v>35.0</v>
      </c>
      <c r="B50" s="341" t="s">
        <v>1053</v>
      </c>
      <c r="C50" s="342" t="s">
        <v>397</v>
      </c>
      <c r="D50" s="343"/>
      <c r="E50" s="344" t="s">
        <v>992</v>
      </c>
      <c r="F50" s="343" t="s">
        <v>986</v>
      </c>
      <c r="G50" s="345" t="s">
        <v>987</v>
      </c>
      <c r="H50" s="345" t="s">
        <v>994</v>
      </c>
      <c r="I50" s="349" t="s">
        <v>398</v>
      </c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</row>
    <row r="51" ht="22.5" hidden="1" customHeight="1">
      <c r="A51" s="340">
        <v>36.0</v>
      </c>
      <c r="B51" s="341" t="s">
        <v>1054</v>
      </c>
      <c r="C51" s="342" t="s">
        <v>261</v>
      </c>
      <c r="D51" s="343" t="s">
        <v>1055</v>
      </c>
      <c r="E51" s="344" t="s">
        <v>989</v>
      </c>
      <c r="F51" s="343" t="s">
        <v>986</v>
      </c>
      <c r="G51" s="345" t="s">
        <v>990</v>
      </c>
      <c r="H51" s="346"/>
      <c r="I51" s="346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</row>
    <row r="52" ht="22.5" hidden="1" customHeight="1">
      <c r="A52" s="340">
        <v>37.0</v>
      </c>
      <c r="B52" s="341" t="s">
        <v>1056</v>
      </c>
      <c r="C52" s="342" t="s">
        <v>262</v>
      </c>
      <c r="D52" s="343" t="s">
        <v>1057</v>
      </c>
      <c r="E52" s="344" t="s">
        <v>992</v>
      </c>
      <c r="F52" s="343" t="s">
        <v>986</v>
      </c>
      <c r="G52" s="345" t="s">
        <v>990</v>
      </c>
      <c r="H52" s="346"/>
      <c r="I52" s="346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</row>
    <row r="53" ht="22.5" hidden="1" customHeight="1">
      <c r="A53" s="340">
        <v>38.0</v>
      </c>
      <c r="B53" s="341" t="s">
        <v>1058</v>
      </c>
      <c r="C53" s="342" t="s">
        <v>416</v>
      </c>
      <c r="D53" s="343"/>
      <c r="E53" s="344" t="s">
        <v>985</v>
      </c>
      <c r="F53" s="343" t="s">
        <v>986</v>
      </c>
      <c r="G53" s="345" t="s">
        <v>993</v>
      </c>
      <c r="H53" s="345" t="s">
        <v>994</v>
      </c>
      <c r="I53" s="349">
        <v>5075.0</v>
      </c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</row>
    <row r="54" ht="22.5" hidden="1" customHeight="1">
      <c r="A54" s="348">
        <v>53.0</v>
      </c>
      <c r="B54" s="341" t="s">
        <v>1059</v>
      </c>
      <c r="C54" s="343"/>
      <c r="D54" s="343"/>
      <c r="E54" s="344" t="s">
        <v>989</v>
      </c>
      <c r="F54" s="343" t="s">
        <v>990</v>
      </c>
      <c r="G54" s="343" t="s">
        <v>1001</v>
      </c>
      <c r="H54" s="343"/>
      <c r="I54" s="343"/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  <c r="AB54" s="295"/>
      <c r="AC54" s="295"/>
    </row>
    <row r="55" ht="22.5" hidden="1" customHeight="1">
      <c r="A55" s="348">
        <v>54.0</v>
      </c>
      <c r="B55" s="341" t="s">
        <v>1053</v>
      </c>
      <c r="C55" s="343"/>
      <c r="D55" s="343"/>
      <c r="E55" s="344" t="s">
        <v>311</v>
      </c>
      <c r="F55" s="343" t="s">
        <v>553</v>
      </c>
      <c r="G55" s="343" t="s">
        <v>82</v>
      </c>
      <c r="H55" s="343"/>
      <c r="I55" s="343"/>
      <c r="J55" s="295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B55" s="295"/>
      <c r="AC55" s="295"/>
    </row>
    <row r="56" ht="22.5" hidden="1" customHeight="1">
      <c r="A56" s="340">
        <v>39.0</v>
      </c>
      <c r="B56" s="341" t="s">
        <v>1060</v>
      </c>
      <c r="C56" s="342" t="s">
        <v>265</v>
      </c>
      <c r="D56" s="343" t="s">
        <v>1061</v>
      </c>
      <c r="E56" s="344" t="s">
        <v>989</v>
      </c>
      <c r="F56" s="343" t="s">
        <v>986</v>
      </c>
      <c r="G56" s="345" t="s">
        <v>990</v>
      </c>
      <c r="H56" s="346"/>
      <c r="I56" s="346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</row>
    <row r="57" ht="22.5" hidden="1" customHeight="1">
      <c r="A57" s="348">
        <v>56.0</v>
      </c>
      <c r="B57" s="341" t="s">
        <v>1062</v>
      </c>
      <c r="C57" s="343"/>
      <c r="D57" s="343"/>
      <c r="E57" s="344" t="s">
        <v>989</v>
      </c>
      <c r="F57" s="343" t="s">
        <v>990</v>
      </c>
      <c r="G57" s="343" t="s">
        <v>1001</v>
      </c>
      <c r="H57" s="343"/>
      <c r="I57" s="343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</row>
    <row r="58" ht="22.5" hidden="1" customHeight="1">
      <c r="A58" s="348">
        <v>57.0</v>
      </c>
      <c r="B58" s="341" t="s">
        <v>1063</v>
      </c>
      <c r="C58" s="343"/>
      <c r="D58" s="343"/>
      <c r="E58" s="344" t="s">
        <v>989</v>
      </c>
      <c r="F58" s="343" t="s">
        <v>990</v>
      </c>
      <c r="G58" s="343" t="s">
        <v>1001</v>
      </c>
      <c r="H58" s="343"/>
      <c r="I58" s="343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</row>
    <row r="59" ht="22.5" hidden="1" customHeight="1">
      <c r="A59" s="340">
        <v>40.0</v>
      </c>
      <c r="B59" s="341" t="s">
        <v>1064</v>
      </c>
      <c r="C59" s="342" t="s">
        <v>268</v>
      </c>
      <c r="D59" s="343" t="s">
        <v>1065</v>
      </c>
      <c r="E59" s="344" t="s">
        <v>985</v>
      </c>
      <c r="F59" s="343" t="s">
        <v>986</v>
      </c>
      <c r="G59" s="345" t="s">
        <v>990</v>
      </c>
      <c r="H59" s="346"/>
      <c r="I59" s="346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295"/>
      <c r="AB59" s="295"/>
      <c r="AC59" s="295"/>
    </row>
    <row r="60" ht="22.5" hidden="1" customHeight="1">
      <c r="A60" s="348">
        <v>59.0</v>
      </c>
      <c r="B60" s="341" t="s">
        <v>1066</v>
      </c>
      <c r="C60" s="343"/>
      <c r="D60" s="343" t="s">
        <v>1004</v>
      </c>
      <c r="E60" s="344" t="s">
        <v>311</v>
      </c>
      <c r="F60" s="343" t="s">
        <v>990</v>
      </c>
      <c r="G60" s="343" t="s">
        <v>82</v>
      </c>
      <c r="H60" s="343"/>
      <c r="I60" s="343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  <c r="AA60" s="295"/>
      <c r="AB60" s="295"/>
      <c r="AC60" s="295"/>
    </row>
    <row r="61" ht="22.5" hidden="1" customHeight="1">
      <c r="A61" s="348">
        <v>60.0</v>
      </c>
      <c r="B61" s="341" t="s">
        <v>1067</v>
      </c>
      <c r="C61" s="343"/>
      <c r="D61" s="343"/>
      <c r="E61" s="344" t="s">
        <v>989</v>
      </c>
      <c r="F61" s="343" t="s">
        <v>990</v>
      </c>
      <c r="G61" s="343" t="s">
        <v>1001</v>
      </c>
      <c r="H61" s="343"/>
      <c r="I61" s="343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</row>
    <row r="62" ht="22.5" hidden="1" customHeight="1">
      <c r="A62" s="348">
        <v>61.0</v>
      </c>
      <c r="B62" s="341" t="s">
        <v>1068</v>
      </c>
      <c r="C62" s="343"/>
      <c r="D62" s="343"/>
      <c r="E62" s="344" t="s">
        <v>989</v>
      </c>
      <c r="F62" s="343" t="s">
        <v>990</v>
      </c>
      <c r="G62" s="343" t="s">
        <v>1001</v>
      </c>
      <c r="H62" s="343"/>
      <c r="I62" s="343"/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</row>
    <row r="63" ht="22.5" hidden="1" customHeight="1">
      <c r="A63" s="340">
        <v>41.0</v>
      </c>
      <c r="B63" s="341" t="s">
        <v>1069</v>
      </c>
      <c r="C63" s="342" t="s">
        <v>269</v>
      </c>
      <c r="D63" s="343"/>
      <c r="E63" s="344" t="s">
        <v>989</v>
      </c>
      <c r="F63" s="343" t="s">
        <v>986</v>
      </c>
      <c r="G63" s="345" t="s">
        <v>990</v>
      </c>
      <c r="H63" s="346"/>
      <c r="I63" s="346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</row>
    <row r="64" ht="22.5" hidden="1" customHeight="1">
      <c r="A64" s="348">
        <v>63.0</v>
      </c>
      <c r="B64" s="341" t="s">
        <v>1070</v>
      </c>
      <c r="C64" s="343"/>
      <c r="D64" s="343"/>
      <c r="E64" s="344" t="s">
        <v>989</v>
      </c>
      <c r="F64" s="343" t="s">
        <v>990</v>
      </c>
      <c r="G64" s="343" t="s">
        <v>1001</v>
      </c>
      <c r="H64" s="343"/>
      <c r="I64" s="343"/>
      <c r="J64" s="295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</row>
    <row r="65" ht="22.5" hidden="1" customHeight="1">
      <c r="A65" s="340">
        <v>42.0</v>
      </c>
      <c r="B65" s="341" t="s">
        <v>1071</v>
      </c>
      <c r="C65" s="342" t="s">
        <v>270</v>
      </c>
      <c r="D65" s="343" t="s">
        <v>1065</v>
      </c>
      <c r="E65" s="344" t="s">
        <v>989</v>
      </c>
      <c r="F65" s="343" t="s">
        <v>986</v>
      </c>
      <c r="G65" s="345" t="s">
        <v>990</v>
      </c>
      <c r="H65" s="346"/>
      <c r="I65" s="346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</row>
    <row r="66" ht="22.5" hidden="1" customHeight="1">
      <c r="A66" s="348">
        <v>65.0</v>
      </c>
      <c r="B66" s="341" t="s">
        <v>1072</v>
      </c>
      <c r="C66" s="343"/>
      <c r="D66" s="343"/>
      <c r="E66" s="344" t="s">
        <v>311</v>
      </c>
      <c r="F66" s="343" t="s">
        <v>990</v>
      </c>
      <c r="G66" s="343" t="s">
        <v>82</v>
      </c>
      <c r="H66" s="343"/>
      <c r="I66" s="343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</row>
    <row r="67" ht="22.5" hidden="1" customHeight="1">
      <c r="A67" s="340">
        <v>43.0</v>
      </c>
      <c r="B67" s="341" t="s">
        <v>1073</v>
      </c>
      <c r="C67" s="342" t="s">
        <v>271</v>
      </c>
      <c r="D67" s="343" t="s">
        <v>1074</v>
      </c>
      <c r="E67" s="344" t="s">
        <v>992</v>
      </c>
      <c r="F67" s="343" t="s">
        <v>986</v>
      </c>
      <c r="G67" s="345" t="s">
        <v>990</v>
      </c>
      <c r="H67" s="346"/>
      <c r="I67" s="346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295"/>
      <c r="AB67" s="295"/>
      <c r="AC67" s="295"/>
    </row>
    <row r="68" ht="22.5" hidden="1" customHeight="1">
      <c r="A68" s="348">
        <v>67.0</v>
      </c>
      <c r="B68" s="341" t="s">
        <v>1075</v>
      </c>
      <c r="C68" s="343"/>
      <c r="D68" s="343"/>
      <c r="E68" s="344" t="s">
        <v>989</v>
      </c>
      <c r="F68" s="343" t="s">
        <v>990</v>
      </c>
      <c r="G68" s="343" t="s">
        <v>1001</v>
      </c>
      <c r="H68" s="343"/>
      <c r="I68" s="343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</row>
    <row r="69" ht="22.5" hidden="1" customHeight="1">
      <c r="A69" s="348">
        <v>68.0</v>
      </c>
      <c r="B69" s="341" t="s">
        <v>1076</v>
      </c>
      <c r="C69" s="343"/>
      <c r="D69" s="343"/>
      <c r="E69" s="344" t="s">
        <v>311</v>
      </c>
      <c r="F69" s="343" t="s">
        <v>990</v>
      </c>
      <c r="G69" s="343" t="s">
        <v>82</v>
      </c>
      <c r="H69" s="343"/>
      <c r="I69" s="343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</row>
    <row r="70" ht="22.5" hidden="1" customHeight="1">
      <c r="A70" s="348">
        <v>69.0</v>
      </c>
      <c r="B70" s="341" t="s">
        <v>1077</v>
      </c>
      <c r="C70" s="343"/>
      <c r="D70" s="343"/>
      <c r="E70" s="344" t="s">
        <v>989</v>
      </c>
      <c r="F70" s="343" t="s">
        <v>990</v>
      </c>
      <c r="G70" s="343" t="s">
        <v>1001</v>
      </c>
      <c r="H70" s="343"/>
      <c r="I70" s="343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</row>
    <row r="71" ht="22.5" hidden="1" customHeight="1">
      <c r="A71" s="348">
        <v>70.0</v>
      </c>
      <c r="B71" s="341" t="s">
        <v>1078</v>
      </c>
      <c r="C71" s="343"/>
      <c r="D71" s="343"/>
      <c r="E71" s="344" t="s">
        <v>311</v>
      </c>
      <c r="F71" s="343" t="s">
        <v>990</v>
      </c>
      <c r="G71" s="343" t="s">
        <v>82</v>
      </c>
      <c r="H71" s="343"/>
      <c r="I71" s="343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  <c r="AA71" s="295"/>
      <c r="AB71" s="295"/>
      <c r="AC71" s="295"/>
    </row>
    <row r="72" ht="22.5" hidden="1" customHeight="1">
      <c r="A72" s="348">
        <v>71.0</v>
      </c>
      <c r="B72" s="347" t="s">
        <v>1079</v>
      </c>
      <c r="C72" s="343"/>
      <c r="D72" s="343"/>
      <c r="E72" s="344" t="s">
        <v>311</v>
      </c>
      <c r="F72" s="343" t="s">
        <v>553</v>
      </c>
      <c r="G72" s="343" t="s">
        <v>82</v>
      </c>
      <c r="H72" s="343"/>
      <c r="I72" s="343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5"/>
      <c r="AB72" s="295"/>
      <c r="AC72" s="295"/>
    </row>
    <row r="73" ht="22.5" hidden="1" customHeight="1">
      <c r="A73" s="340">
        <v>44.0</v>
      </c>
      <c r="B73" s="341" t="s">
        <v>1080</v>
      </c>
      <c r="C73" s="342" t="s">
        <v>419</v>
      </c>
      <c r="D73" s="343" t="s">
        <v>1081</v>
      </c>
      <c r="E73" s="344" t="s">
        <v>989</v>
      </c>
      <c r="F73" s="343" t="s">
        <v>986</v>
      </c>
      <c r="G73" s="345" t="s">
        <v>993</v>
      </c>
      <c r="H73" s="345" t="s">
        <v>994</v>
      </c>
      <c r="I73" s="349" t="s">
        <v>420</v>
      </c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</row>
    <row r="74" ht="22.5" hidden="1" customHeight="1">
      <c r="A74" s="348">
        <v>73.0</v>
      </c>
      <c r="B74" s="341" t="s">
        <v>1082</v>
      </c>
      <c r="C74" s="343"/>
      <c r="D74" s="343" t="s">
        <v>1083</v>
      </c>
      <c r="E74" s="344" t="s">
        <v>989</v>
      </c>
      <c r="F74" s="343" t="s">
        <v>990</v>
      </c>
      <c r="G74" s="343" t="s">
        <v>1001</v>
      </c>
      <c r="H74" s="343"/>
      <c r="I74" s="343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</row>
    <row r="75" ht="22.5" hidden="1" customHeight="1">
      <c r="A75" s="348">
        <v>74.0</v>
      </c>
      <c r="B75" s="341" t="s">
        <v>1084</v>
      </c>
      <c r="C75" s="343"/>
      <c r="D75" s="343"/>
      <c r="E75" s="344" t="s">
        <v>989</v>
      </c>
      <c r="F75" s="343" t="s">
        <v>990</v>
      </c>
      <c r="G75" s="343" t="s">
        <v>1001</v>
      </c>
      <c r="H75" s="343"/>
      <c r="I75" s="343"/>
      <c r="J75" s="295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</row>
    <row r="76" ht="22.5" hidden="1" customHeight="1">
      <c r="A76" s="340">
        <v>45.0</v>
      </c>
      <c r="B76" s="341" t="s">
        <v>1085</v>
      </c>
      <c r="C76" s="342" t="s">
        <v>273</v>
      </c>
      <c r="D76" s="343" t="s">
        <v>1086</v>
      </c>
      <c r="E76" s="344" t="s">
        <v>989</v>
      </c>
      <c r="F76" s="343" t="s">
        <v>986</v>
      </c>
      <c r="G76" s="345" t="s">
        <v>990</v>
      </c>
      <c r="H76" s="346"/>
      <c r="I76" s="346"/>
      <c r="J76" s="295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  <c r="AA76" s="295"/>
      <c r="AB76" s="295"/>
      <c r="AC76" s="295"/>
    </row>
    <row r="77" ht="22.5" hidden="1" customHeight="1">
      <c r="A77" s="348">
        <v>76.0</v>
      </c>
      <c r="B77" s="341" t="s">
        <v>1087</v>
      </c>
      <c r="C77" s="343"/>
      <c r="D77" s="343"/>
      <c r="E77" s="344" t="s">
        <v>989</v>
      </c>
      <c r="F77" s="343" t="s">
        <v>990</v>
      </c>
      <c r="G77" s="343" t="s">
        <v>1001</v>
      </c>
      <c r="H77" s="343"/>
      <c r="I77" s="343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</row>
    <row r="78" ht="22.5" hidden="1" customHeight="1">
      <c r="A78" s="348">
        <v>77.0</v>
      </c>
      <c r="B78" s="341" t="s">
        <v>1088</v>
      </c>
      <c r="C78" s="343"/>
      <c r="D78" s="343"/>
      <c r="E78" s="344" t="s">
        <v>989</v>
      </c>
      <c r="F78" s="343" t="s">
        <v>990</v>
      </c>
      <c r="G78" s="343" t="s">
        <v>1001</v>
      </c>
      <c r="H78" s="343"/>
      <c r="I78" s="343"/>
      <c r="J78" s="295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  <c r="AA78" s="295"/>
      <c r="AB78" s="295"/>
      <c r="AC78" s="295"/>
    </row>
    <row r="79" ht="22.5" hidden="1" customHeight="1">
      <c r="A79" s="340">
        <v>46.0</v>
      </c>
      <c r="B79" s="341" t="s">
        <v>1089</v>
      </c>
      <c r="C79" s="342" t="s">
        <v>432</v>
      </c>
      <c r="D79" s="343" t="s">
        <v>1090</v>
      </c>
      <c r="E79" s="344" t="s">
        <v>985</v>
      </c>
      <c r="F79" s="343" t="s">
        <v>986</v>
      </c>
      <c r="G79" s="345" t="s">
        <v>987</v>
      </c>
      <c r="H79" s="345" t="s">
        <v>994</v>
      </c>
      <c r="I79" s="349" t="s">
        <v>433</v>
      </c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295"/>
      <c r="AB79" s="295"/>
      <c r="AC79" s="295"/>
    </row>
    <row r="80" ht="22.5" hidden="1" customHeight="1">
      <c r="A80" s="348">
        <v>79.0</v>
      </c>
      <c r="B80" s="341" t="s">
        <v>1091</v>
      </c>
      <c r="C80" s="343"/>
      <c r="D80" s="343"/>
      <c r="E80" s="344" t="s">
        <v>989</v>
      </c>
      <c r="F80" s="343" t="s">
        <v>990</v>
      </c>
      <c r="G80" s="343" t="s">
        <v>1001</v>
      </c>
      <c r="H80" s="343"/>
      <c r="I80" s="343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</row>
    <row r="81" ht="22.5" hidden="1" customHeight="1">
      <c r="A81" s="340">
        <v>47.0</v>
      </c>
      <c r="B81" s="347" t="s">
        <v>1092</v>
      </c>
      <c r="C81" s="342" t="s">
        <v>275</v>
      </c>
      <c r="D81" s="343" t="s">
        <v>1093</v>
      </c>
      <c r="E81" s="344" t="s">
        <v>989</v>
      </c>
      <c r="F81" s="343" t="s">
        <v>986</v>
      </c>
      <c r="G81" s="345" t="s">
        <v>990</v>
      </c>
      <c r="H81" s="346"/>
      <c r="I81" s="346"/>
      <c r="J81" s="295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</row>
    <row r="82" ht="22.5" hidden="1" customHeight="1">
      <c r="A82" s="340">
        <v>48.0</v>
      </c>
      <c r="B82" s="341" t="s">
        <v>1094</v>
      </c>
      <c r="C82" s="342" t="s">
        <v>276</v>
      </c>
      <c r="D82" s="343"/>
      <c r="E82" s="344" t="s">
        <v>989</v>
      </c>
      <c r="F82" s="343" t="s">
        <v>986</v>
      </c>
      <c r="G82" s="345" t="s">
        <v>990</v>
      </c>
      <c r="H82" s="346"/>
      <c r="I82" s="346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</row>
    <row r="83" ht="22.5" customHeight="1">
      <c r="A83" s="340">
        <v>49.0</v>
      </c>
      <c r="B83" s="341" t="s">
        <v>1095</v>
      </c>
      <c r="C83" s="349" t="s">
        <v>1096</v>
      </c>
      <c r="D83" s="343"/>
      <c r="E83" s="344" t="s">
        <v>985</v>
      </c>
      <c r="F83" s="343" t="s">
        <v>986</v>
      </c>
      <c r="G83" s="345" t="s">
        <v>998</v>
      </c>
      <c r="H83" s="345" t="s">
        <v>311</v>
      </c>
      <c r="I83" s="349">
        <v>5776.0</v>
      </c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</row>
    <row r="84" ht="22.5" hidden="1" customHeight="1">
      <c r="A84" s="340">
        <v>50.0</v>
      </c>
      <c r="B84" s="341" t="s">
        <v>420</v>
      </c>
      <c r="C84" s="342" t="s">
        <v>452</v>
      </c>
      <c r="D84" s="343" t="s">
        <v>1097</v>
      </c>
      <c r="E84" s="344" t="s">
        <v>989</v>
      </c>
      <c r="F84" s="343" t="s">
        <v>986</v>
      </c>
      <c r="G84" s="345" t="s">
        <v>993</v>
      </c>
      <c r="H84" s="345" t="s">
        <v>994</v>
      </c>
      <c r="I84" s="339" t="s">
        <v>453</v>
      </c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95"/>
    </row>
    <row r="85">
      <c r="A85" s="295"/>
      <c r="B85" s="350"/>
      <c r="C85" s="350"/>
      <c r="D85" s="295"/>
      <c r="E85" s="295"/>
      <c r="F85" s="295"/>
      <c r="G85" s="295"/>
      <c r="H85" s="295"/>
      <c r="I85" s="351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295"/>
      <c r="AB85" s="295"/>
      <c r="AC85" s="295"/>
    </row>
    <row r="86">
      <c r="A86" s="295"/>
      <c r="B86" s="350"/>
      <c r="C86" s="350"/>
      <c r="D86" s="295"/>
      <c r="E86" s="295"/>
      <c r="F86" s="295"/>
      <c r="G86" s="295"/>
      <c r="H86" s="295"/>
      <c r="I86" s="351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</row>
    <row r="87">
      <c r="A87" s="295"/>
      <c r="B87" s="350"/>
      <c r="C87" s="350"/>
      <c r="D87" s="295"/>
      <c r="E87" s="295"/>
      <c r="F87" s="295"/>
      <c r="G87" s="295"/>
      <c r="H87" s="295"/>
      <c r="I87" s="351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</row>
    <row r="88">
      <c r="A88" s="295"/>
      <c r="B88" s="350"/>
      <c r="C88" s="350"/>
      <c r="D88" s="295"/>
      <c r="E88" s="295"/>
      <c r="F88" s="295"/>
      <c r="G88" s="295"/>
      <c r="H88" s="295"/>
      <c r="I88" s="351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</row>
    <row r="89">
      <c r="A89" s="295"/>
      <c r="B89" s="350"/>
      <c r="C89" s="350"/>
      <c r="D89" s="295"/>
      <c r="E89" s="295"/>
      <c r="F89" s="295"/>
      <c r="G89" s="295"/>
      <c r="H89" s="295"/>
      <c r="I89" s="351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</row>
    <row r="90">
      <c r="A90" s="295"/>
      <c r="B90" s="350"/>
      <c r="C90" s="350"/>
      <c r="D90" s="295"/>
      <c r="E90" s="295"/>
      <c r="F90" s="295"/>
      <c r="G90" s="295"/>
      <c r="H90" s="295"/>
      <c r="I90" s="351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</row>
    <row r="91">
      <c r="A91" s="295"/>
      <c r="B91" s="350"/>
      <c r="C91" s="350"/>
      <c r="D91" s="295"/>
      <c r="E91" s="295"/>
      <c r="F91" s="295"/>
      <c r="G91" s="295"/>
      <c r="H91" s="295"/>
      <c r="I91" s="351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  <c r="AA91" s="295"/>
      <c r="AB91" s="295"/>
      <c r="AC91" s="295"/>
    </row>
    <row r="92">
      <c r="A92" s="295"/>
      <c r="B92" s="350"/>
      <c r="C92" s="350"/>
      <c r="D92" s="295"/>
      <c r="E92" s="295"/>
      <c r="F92" s="295"/>
      <c r="G92" s="295"/>
      <c r="H92" s="295"/>
      <c r="I92" s="351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</row>
    <row r="93">
      <c r="A93" s="295"/>
      <c r="B93" s="350"/>
      <c r="C93" s="350"/>
      <c r="D93" s="295"/>
      <c r="E93" s="295"/>
      <c r="F93" s="295"/>
      <c r="G93" s="295"/>
      <c r="H93" s="295"/>
      <c r="I93" s="351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</row>
    <row r="94">
      <c r="A94" s="295"/>
      <c r="B94" s="350"/>
      <c r="C94" s="350"/>
      <c r="D94" s="295"/>
      <c r="E94" s="295"/>
      <c r="F94" s="295"/>
      <c r="G94" s="295"/>
      <c r="H94" s="295"/>
      <c r="I94" s="351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</row>
    <row r="95">
      <c r="A95" s="295"/>
      <c r="B95" s="350"/>
      <c r="C95" s="350"/>
      <c r="D95" s="295"/>
      <c r="E95" s="295"/>
      <c r="F95" s="295"/>
      <c r="G95" s="295"/>
      <c r="H95" s="295"/>
      <c r="I95" s="351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</row>
    <row r="96">
      <c r="A96" s="295"/>
      <c r="B96" s="350"/>
      <c r="C96" s="350"/>
      <c r="D96" s="295"/>
      <c r="E96" s="295"/>
      <c r="F96" s="295"/>
      <c r="G96" s="295"/>
      <c r="H96" s="295"/>
      <c r="I96" s="351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</row>
    <row r="97">
      <c r="A97" s="295"/>
      <c r="B97" s="350"/>
      <c r="C97" s="350"/>
      <c r="D97" s="295"/>
      <c r="E97" s="295"/>
      <c r="F97" s="295"/>
      <c r="G97" s="295"/>
      <c r="H97" s="295"/>
      <c r="I97" s="351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</row>
    <row r="98">
      <c r="A98" s="295"/>
      <c r="B98" s="350"/>
      <c r="C98" s="350"/>
      <c r="D98" s="295"/>
      <c r="E98" s="295"/>
      <c r="F98" s="295"/>
      <c r="G98" s="295"/>
      <c r="H98" s="295"/>
      <c r="I98" s="351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</row>
    <row r="99">
      <c r="A99" s="295"/>
      <c r="B99" s="350"/>
      <c r="C99" s="350"/>
      <c r="D99" s="295"/>
      <c r="E99" s="295"/>
      <c r="F99" s="295"/>
      <c r="G99" s="295"/>
      <c r="H99" s="295"/>
      <c r="I99" s="351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</row>
    <row r="100">
      <c r="A100" s="295"/>
      <c r="B100" s="350"/>
      <c r="C100" s="350"/>
      <c r="D100" s="295"/>
      <c r="E100" s="295"/>
      <c r="F100" s="295"/>
      <c r="G100" s="295"/>
      <c r="H100" s="295"/>
      <c r="I100" s="351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</row>
    <row r="101">
      <c r="A101" s="295"/>
      <c r="B101" s="350"/>
      <c r="C101" s="350"/>
      <c r="D101" s="295"/>
      <c r="E101" s="295"/>
      <c r="F101" s="295"/>
      <c r="G101" s="295"/>
      <c r="H101" s="295"/>
      <c r="I101" s="351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</row>
    <row r="102">
      <c r="A102" s="295"/>
      <c r="B102" s="350"/>
      <c r="C102" s="350"/>
      <c r="D102" s="295"/>
      <c r="E102" s="295"/>
      <c r="F102" s="295"/>
      <c r="G102" s="295"/>
      <c r="H102" s="295"/>
      <c r="I102" s="351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</row>
    <row r="103">
      <c r="A103" s="295"/>
      <c r="B103" s="350"/>
      <c r="C103" s="350"/>
      <c r="D103" s="295"/>
      <c r="E103" s="295"/>
      <c r="F103" s="295"/>
      <c r="G103" s="295"/>
      <c r="H103" s="295"/>
      <c r="I103" s="351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</row>
    <row r="104">
      <c r="A104" s="295"/>
      <c r="B104" s="350"/>
      <c r="C104" s="350"/>
      <c r="D104" s="295"/>
      <c r="E104" s="295"/>
      <c r="F104" s="295"/>
      <c r="G104" s="295"/>
      <c r="H104" s="295"/>
      <c r="I104" s="351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</row>
    <row r="105">
      <c r="A105" s="295"/>
      <c r="B105" s="350"/>
      <c r="C105" s="350"/>
      <c r="D105" s="295"/>
      <c r="E105" s="295"/>
      <c r="F105" s="295"/>
      <c r="G105" s="295"/>
      <c r="H105" s="295"/>
      <c r="I105" s="351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</row>
    <row r="106">
      <c r="A106" s="295"/>
      <c r="B106" s="350"/>
      <c r="C106" s="350"/>
      <c r="D106" s="295"/>
      <c r="E106" s="295"/>
      <c r="F106" s="295"/>
      <c r="G106" s="295"/>
      <c r="H106" s="295"/>
      <c r="I106" s="351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</row>
    <row r="107">
      <c r="A107" s="295"/>
      <c r="B107" s="350"/>
      <c r="C107" s="350"/>
      <c r="D107" s="295"/>
      <c r="E107" s="295"/>
      <c r="F107" s="295"/>
      <c r="G107" s="295"/>
      <c r="H107" s="295"/>
      <c r="I107" s="351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</row>
    <row r="108">
      <c r="A108" s="295"/>
      <c r="B108" s="350"/>
      <c r="C108" s="350"/>
      <c r="D108" s="295"/>
      <c r="E108" s="295"/>
      <c r="F108" s="295"/>
      <c r="G108" s="295"/>
      <c r="H108" s="295"/>
      <c r="I108" s="351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</row>
    <row r="109">
      <c r="A109" s="295"/>
      <c r="B109" s="350"/>
      <c r="C109" s="350"/>
      <c r="D109" s="295"/>
      <c r="E109" s="295"/>
      <c r="F109" s="295"/>
      <c r="G109" s="295"/>
      <c r="H109" s="295"/>
      <c r="I109" s="351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</row>
    <row r="110">
      <c r="A110" s="295"/>
      <c r="B110" s="350"/>
      <c r="C110" s="350"/>
      <c r="D110" s="295"/>
      <c r="E110" s="295"/>
      <c r="F110" s="295"/>
      <c r="G110" s="295"/>
      <c r="H110" s="295"/>
      <c r="I110" s="351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</row>
    <row r="111">
      <c r="A111" s="295"/>
      <c r="B111" s="350"/>
      <c r="C111" s="350"/>
      <c r="D111" s="295"/>
      <c r="E111" s="295"/>
      <c r="F111" s="295"/>
      <c r="G111" s="295"/>
      <c r="H111" s="295"/>
      <c r="I111" s="351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</row>
    <row r="112">
      <c r="A112" s="295"/>
      <c r="B112" s="350"/>
      <c r="C112" s="350"/>
      <c r="D112" s="295"/>
      <c r="E112" s="295"/>
      <c r="F112" s="295"/>
      <c r="G112" s="295"/>
      <c r="H112" s="295"/>
      <c r="I112" s="351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</row>
    <row r="113">
      <c r="A113" s="295"/>
      <c r="B113" s="350"/>
      <c r="C113" s="350"/>
      <c r="D113" s="295"/>
      <c r="E113" s="295"/>
      <c r="F113" s="295"/>
      <c r="G113" s="295"/>
      <c r="H113" s="295"/>
      <c r="I113" s="351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</row>
    <row r="114">
      <c r="A114" s="295"/>
      <c r="B114" s="350"/>
      <c r="C114" s="350"/>
      <c r="D114" s="295"/>
      <c r="E114" s="295"/>
      <c r="F114" s="295"/>
      <c r="G114" s="295"/>
      <c r="H114" s="295"/>
      <c r="I114" s="351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</row>
    <row r="115">
      <c r="A115" s="295"/>
      <c r="B115" s="350"/>
      <c r="C115" s="350"/>
      <c r="D115" s="295"/>
      <c r="E115" s="295"/>
      <c r="F115" s="295"/>
      <c r="G115" s="295"/>
      <c r="H115" s="295"/>
      <c r="I115" s="351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</row>
    <row r="116">
      <c r="A116" s="295"/>
      <c r="B116" s="350"/>
      <c r="C116" s="350"/>
      <c r="D116" s="295"/>
      <c r="E116" s="295"/>
      <c r="F116" s="295"/>
      <c r="G116" s="295"/>
      <c r="H116" s="295"/>
      <c r="I116" s="351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</row>
    <row r="117">
      <c r="A117" s="295"/>
      <c r="B117" s="350"/>
      <c r="C117" s="350"/>
      <c r="D117" s="295"/>
      <c r="E117" s="295"/>
      <c r="F117" s="295"/>
      <c r="G117" s="295"/>
      <c r="H117" s="295"/>
      <c r="I117" s="351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5"/>
      <c r="AC117" s="295"/>
    </row>
    <row r="118">
      <c r="A118" s="295"/>
      <c r="B118" s="350"/>
      <c r="C118" s="350"/>
      <c r="D118" s="295"/>
      <c r="E118" s="295"/>
      <c r="F118" s="295"/>
      <c r="G118" s="295"/>
      <c r="H118" s="295"/>
      <c r="I118" s="351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5"/>
      <c r="AC118" s="295"/>
    </row>
    <row r="119">
      <c r="A119" s="295"/>
      <c r="B119" s="350"/>
      <c r="C119" s="350"/>
      <c r="D119" s="295"/>
      <c r="E119" s="295"/>
      <c r="F119" s="295"/>
      <c r="G119" s="295"/>
      <c r="H119" s="295"/>
      <c r="I119" s="351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</row>
    <row r="120">
      <c r="A120" s="295"/>
      <c r="B120" s="350"/>
      <c r="C120" s="350"/>
      <c r="D120" s="295"/>
      <c r="E120" s="295"/>
      <c r="F120" s="295"/>
      <c r="G120" s="295"/>
      <c r="H120" s="295"/>
      <c r="I120" s="351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</row>
    <row r="121">
      <c r="A121" s="295"/>
      <c r="B121" s="350"/>
      <c r="C121" s="350"/>
      <c r="D121" s="295"/>
      <c r="E121" s="295"/>
      <c r="F121" s="295"/>
      <c r="G121" s="295"/>
      <c r="H121" s="295"/>
      <c r="I121" s="351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</row>
    <row r="122">
      <c r="A122" s="295"/>
      <c r="B122" s="350"/>
      <c r="C122" s="350"/>
      <c r="D122" s="295"/>
      <c r="E122" s="295"/>
      <c r="F122" s="295"/>
      <c r="G122" s="295"/>
      <c r="H122" s="295"/>
      <c r="I122" s="351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</row>
    <row r="123">
      <c r="A123" s="295"/>
      <c r="B123" s="350"/>
      <c r="C123" s="350"/>
      <c r="D123" s="295"/>
      <c r="E123" s="295"/>
      <c r="F123" s="295"/>
      <c r="G123" s="295"/>
      <c r="H123" s="295"/>
      <c r="I123" s="351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</row>
    <row r="124">
      <c r="A124" s="295"/>
      <c r="B124" s="350"/>
      <c r="C124" s="350"/>
      <c r="D124" s="295"/>
      <c r="E124" s="295"/>
      <c r="F124" s="295"/>
      <c r="G124" s="295"/>
      <c r="H124" s="295"/>
      <c r="I124" s="351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</row>
    <row r="125">
      <c r="A125" s="295"/>
      <c r="B125" s="350"/>
      <c r="C125" s="350"/>
      <c r="D125" s="295"/>
      <c r="E125" s="295"/>
      <c r="F125" s="295"/>
      <c r="G125" s="295"/>
      <c r="H125" s="295"/>
      <c r="I125" s="351"/>
      <c r="J125" s="295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</row>
    <row r="126">
      <c r="A126" s="295"/>
      <c r="B126" s="350"/>
      <c r="C126" s="350"/>
      <c r="D126" s="295"/>
      <c r="E126" s="295"/>
      <c r="F126" s="295"/>
      <c r="G126" s="295"/>
      <c r="H126" s="295"/>
      <c r="I126" s="351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</row>
    <row r="127">
      <c r="A127" s="295"/>
      <c r="B127" s="350"/>
      <c r="C127" s="350"/>
      <c r="D127" s="295"/>
      <c r="E127" s="295"/>
      <c r="F127" s="295"/>
      <c r="G127" s="295"/>
      <c r="H127" s="295"/>
      <c r="I127" s="351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</row>
    <row r="128">
      <c r="A128" s="295"/>
      <c r="B128" s="350"/>
      <c r="C128" s="350"/>
      <c r="D128" s="295"/>
      <c r="E128" s="295"/>
      <c r="F128" s="295"/>
      <c r="G128" s="295"/>
      <c r="H128" s="295"/>
      <c r="I128" s="351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</row>
    <row r="129">
      <c r="A129" s="295"/>
      <c r="B129" s="350"/>
      <c r="C129" s="350"/>
      <c r="D129" s="295"/>
      <c r="E129" s="295"/>
      <c r="F129" s="295"/>
      <c r="G129" s="295"/>
      <c r="H129" s="295"/>
      <c r="I129" s="351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</row>
    <row r="130">
      <c r="A130" s="295"/>
      <c r="B130" s="350"/>
      <c r="C130" s="350"/>
      <c r="D130" s="295"/>
      <c r="E130" s="295"/>
      <c r="F130" s="295"/>
      <c r="G130" s="295"/>
      <c r="H130" s="295"/>
      <c r="I130" s="351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</row>
    <row r="131">
      <c r="A131" s="295"/>
      <c r="B131" s="350"/>
      <c r="C131" s="350"/>
      <c r="D131" s="295"/>
      <c r="E131" s="295"/>
      <c r="F131" s="295"/>
      <c r="G131" s="295"/>
      <c r="H131" s="295"/>
      <c r="I131" s="351"/>
      <c r="J131" s="295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</row>
    <row r="132">
      <c r="A132" s="295"/>
      <c r="B132" s="350"/>
      <c r="C132" s="350"/>
      <c r="D132" s="295"/>
      <c r="E132" s="295"/>
      <c r="F132" s="295"/>
      <c r="G132" s="295"/>
      <c r="H132" s="295"/>
      <c r="I132" s="351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</row>
    <row r="133">
      <c r="A133" s="295"/>
      <c r="B133" s="350"/>
      <c r="C133" s="350"/>
      <c r="D133" s="295"/>
      <c r="E133" s="295"/>
      <c r="F133" s="295"/>
      <c r="G133" s="295"/>
      <c r="H133" s="295"/>
      <c r="I133" s="351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</row>
    <row r="134">
      <c r="A134" s="295"/>
      <c r="B134" s="350"/>
      <c r="C134" s="350"/>
      <c r="D134" s="295"/>
      <c r="E134" s="295"/>
      <c r="F134" s="295"/>
      <c r="G134" s="295"/>
      <c r="H134" s="295"/>
      <c r="I134" s="351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</row>
    <row r="135">
      <c r="A135" s="295"/>
      <c r="B135" s="350"/>
      <c r="C135" s="350"/>
      <c r="D135" s="295"/>
      <c r="E135" s="295"/>
      <c r="F135" s="295"/>
      <c r="G135" s="295"/>
      <c r="H135" s="295"/>
      <c r="I135" s="351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</row>
    <row r="136">
      <c r="A136" s="295"/>
      <c r="B136" s="350"/>
      <c r="C136" s="350"/>
      <c r="D136" s="295"/>
      <c r="E136" s="295"/>
      <c r="F136" s="295"/>
      <c r="G136" s="295"/>
      <c r="H136" s="295"/>
      <c r="I136" s="351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</row>
    <row r="137">
      <c r="A137" s="295"/>
      <c r="B137" s="350"/>
      <c r="C137" s="350"/>
      <c r="D137" s="295"/>
      <c r="E137" s="295"/>
      <c r="F137" s="295"/>
      <c r="G137" s="295"/>
      <c r="H137" s="295"/>
      <c r="I137" s="351"/>
      <c r="J137" s="295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</row>
    <row r="138">
      <c r="A138" s="295"/>
      <c r="B138" s="350"/>
      <c r="C138" s="350"/>
      <c r="D138" s="295"/>
      <c r="E138" s="295"/>
      <c r="F138" s="295"/>
      <c r="G138" s="295"/>
      <c r="H138" s="295"/>
      <c r="I138" s="351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</row>
    <row r="139">
      <c r="A139" s="295"/>
      <c r="B139" s="350"/>
      <c r="C139" s="350"/>
      <c r="D139" s="295"/>
      <c r="E139" s="295"/>
      <c r="F139" s="295"/>
      <c r="G139" s="295"/>
      <c r="H139" s="295"/>
      <c r="I139" s="351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</row>
    <row r="140">
      <c r="A140" s="295"/>
      <c r="B140" s="350"/>
      <c r="C140" s="350"/>
      <c r="D140" s="295"/>
      <c r="E140" s="295"/>
      <c r="F140" s="295"/>
      <c r="G140" s="295"/>
      <c r="H140" s="295"/>
      <c r="I140" s="351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</row>
    <row r="141">
      <c r="A141" s="295"/>
      <c r="B141" s="350"/>
      <c r="C141" s="350"/>
      <c r="D141" s="295"/>
      <c r="E141" s="295"/>
      <c r="F141" s="295"/>
      <c r="G141" s="295"/>
      <c r="H141" s="295"/>
      <c r="I141" s="351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</row>
    <row r="142">
      <c r="A142" s="295"/>
      <c r="B142" s="350"/>
      <c r="C142" s="350"/>
      <c r="D142" s="295"/>
      <c r="E142" s="295"/>
      <c r="F142" s="295"/>
      <c r="G142" s="295"/>
      <c r="H142" s="295"/>
      <c r="I142" s="351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</row>
    <row r="143">
      <c r="A143" s="295"/>
      <c r="B143" s="350"/>
      <c r="C143" s="350"/>
      <c r="D143" s="295"/>
      <c r="E143" s="295"/>
      <c r="F143" s="295"/>
      <c r="G143" s="295"/>
      <c r="H143" s="295"/>
      <c r="I143" s="351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</row>
    <row r="144">
      <c r="A144" s="295"/>
      <c r="B144" s="350"/>
      <c r="C144" s="350"/>
      <c r="D144" s="295"/>
      <c r="E144" s="295"/>
      <c r="F144" s="295"/>
      <c r="G144" s="295"/>
      <c r="H144" s="295"/>
      <c r="I144" s="351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</row>
    <row r="145">
      <c r="A145" s="295"/>
      <c r="B145" s="350"/>
      <c r="C145" s="350"/>
      <c r="D145" s="295"/>
      <c r="E145" s="295"/>
      <c r="F145" s="295"/>
      <c r="G145" s="295"/>
      <c r="H145" s="295"/>
      <c r="I145" s="351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</row>
    <row r="146">
      <c r="A146" s="295"/>
      <c r="B146" s="350"/>
      <c r="C146" s="350"/>
      <c r="D146" s="295"/>
      <c r="E146" s="295"/>
      <c r="F146" s="295"/>
      <c r="G146" s="295"/>
      <c r="H146" s="295"/>
      <c r="I146" s="351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</row>
    <row r="147">
      <c r="A147" s="295"/>
      <c r="B147" s="350"/>
      <c r="C147" s="350"/>
      <c r="D147" s="295"/>
      <c r="E147" s="295"/>
      <c r="F147" s="295"/>
      <c r="G147" s="295"/>
      <c r="H147" s="295"/>
      <c r="I147" s="351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</row>
    <row r="148">
      <c r="A148" s="295"/>
      <c r="B148" s="350"/>
      <c r="C148" s="350"/>
      <c r="D148" s="295"/>
      <c r="E148" s="295"/>
      <c r="F148" s="295"/>
      <c r="G148" s="295"/>
      <c r="H148" s="295"/>
      <c r="I148" s="351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</row>
    <row r="149">
      <c r="A149" s="295"/>
      <c r="B149" s="350"/>
      <c r="C149" s="350"/>
      <c r="D149" s="295"/>
      <c r="E149" s="295"/>
      <c r="F149" s="295"/>
      <c r="G149" s="295"/>
      <c r="H149" s="295"/>
      <c r="I149" s="351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</row>
    <row r="150">
      <c r="A150" s="295"/>
      <c r="B150" s="350"/>
      <c r="C150" s="350"/>
      <c r="D150" s="295"/>
      <c r="E150" s="295"/>
      <c r="F150" s="295"/>
      <c r="G150" s="295"/>
      <c r="H150" s="295"/>
      <c r="I150" s="351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</row>
    <row r="151">
      <c r="A151" s="295"/>
      <c r="B151" s="350"/>
      <c r="C151" s="350"/>
      <c r="D151" s="295"/>
      <c r="E151" s="295"/>
      <c r="F151" s="295"/>
      <c r="G151" s="295"/>
      <c r="H151" s="295"/>
      <c r="I151" s="351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</row>
    <row r="152">
      <c r="A152" s="295"/>
      <c r="B152" s="350"/>
      <c r="C152" s="350"/>
      <c r="D152" s="295"/>
      <c r="E152" s="295"/>
      <c r="F152" s="295"/>
      <c r="G152" s="295"/>
      <c r="H152" s="295"/>
      <c r="I152" s="351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</row>
    <row r="153">
      <c r="A153" s="295"/>
      <c r="B153" s="350"/>
      <c r="C153" s="350"/>
      <c r="D153" s="295"/>
      <c r="E153" s="295"/>
      <c r="F153" s="295"/>
      <c r="G153" s="295"/>
      <c r="H153" s="295"/>
      <c r="I153" s="351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</row>
    <row r="154">
      <c r="A154" s="295"/>
      <c r="B154" s="350"/>
      <c r="C154" s="350"/>
      <c r="D154" s="295"/>
      <c r="E154" s="295"/>
      <c r="F154" s="295"/>
      <c r="G154" s="295"/>
      <c r="H154" s="295"/>
      <c r="I154" s="351"/>
      <c r="J154" s="295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  <c r="Y154" s="295"/>
      <c r="Z154" s="295"/>
      <c r="AA154" s="295"/>
      <c r="AB154" s="295"/>
      <c r="AC154" s="295"/>
    </row>
    <row r="155">
      <c r="A155" s="295"/>
      <c r="B155" s="350"/>
      <c r="C155" s="350"/>
      <c r="D155" s="295"/>
      <c r="E155" s="295"/>
      <c r="F155" s="295"/>
      <c r="G155" s="295"/>
      <c r="H155" s="295"/>
      <c r="I155" s="351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295"/>
      <c r="AB155" s="295"/>
      <c r="AC155" s="295"/>
    </row>
    <row r="156">
      <c r="A156" s="295"/>
      <c r="B156" s="350"/>
      <c r="C156" s="350"/>
      <c r="D156" s="295"/>
      <c r="E156" s="295"/>
      <c r="F156" s="295"/>
      <c r="G156" s="295"/>
      <c r="H156" s="295"/>
      <c r="I156" s="351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</row>
    <row r="157">
      <c r="A157" s="295"/>
      <c r="B157" s="350"/>
      <c r="C157" s="350"/>
      <c r="D157" s="295"/>
      <c r="E157" s="295"/>
      <c r="F157" s="295"/>
      <c r="G157" s="295"/>
      <c r="H157" s="295"/>
      <c r="I157" s="351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</row>
    <row r="158">
      <c r="A158" s="295"/>
      <c r="B158" s="350"/>
      <c r="C158" s="350"/>
      <c r="D158" s="295"/>
      <c r="E158" s="295"/>
      <c r="F158" s="295"/>
      <c r="G158" s="295"/>
      <c r="H158" s="295"/>
      <c r="I158" s="351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</row>
    <row r="159">
      <c r="A159" s="295"/>
      <c r="B159" s="350"/>
      <c r="C159" s="350"/>
      <c r="D159" s="295"/>
      <c r="E159" s="295"/>
      <c r="F159" s="295"/>
      <c r="G159" s="295"/>
      <c r="H159" s="295"/>
      <c r="I159" s="351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295"/>
      <c r="AB159" s="295"/>
      <c r="AC159" s="295"/>
    </row>
    <row r="160">
      <c r="A160" s="295"/>
      <c r="B160" s="350"/>
      <c r="C160" s="350"/>
      <c r="D160" s="295"/>
      <c r="E160" s="295"/>
      <c r="F160" s="295"/>
      <c r="G160" s="295"/>
      <c r="H160" s="295"/>
      <c r="I160" s="351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295"/>
      <c r="AB160" s="295"/>
      <c r="AC160" s="295"/>
    </row>
    <row r="161">
      <c r="A161" s="295"/>
      <c r="B161" s="350"/>
      <c r="C161" s="350"/>
      <c r="D161" s="295"/>
      <c r="E161" s="295"/>
      <c r="F161" s="295"/>
      <c r="G161" s="295"/>
      <c r="H161" s="295"/>
      <c r="I161" s="351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  <c r="AA161" s="295"/>
      <c r="AB161" s="295"/>
      <c r="AC161" s="295"/>
    </row>
    <row r="162">
      <c r="A162" s="295"/>
      <c r="B162" s="350"/>
      <c r="C162" s="350"/>
      <c r="D162" s="295"/>
      <c r="E162" s="295"/>
      <c r="F162" s="295"/>
      <c r="G162" s="295"/>
      <c r="H162" s="295"/>
      <c r="I162" s="351"/>
      <c r="J162" s="295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</row>
    <row r="163">
      <c r="A163" s="295"/>
      <c r="B163" s="350"/>
      <c r="C163" s="350"/>
      <c r="D163" s="295"/>
      <c r="E163" s="295"/>
      <c r="F163" s="295"/>
      <c r="G163" s="295"/>
      <c r="H163" s="295"/>
      <c r="I163" s="351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  <c r="AA163" s="295"/>
      <c r="AB163" s="295"/>
      <c r="AC163" s="295"/>
    </row>
    <row r="164">
      <c r="A164" s="295"/>
      <c r="B164" s="350"/>
      <c r="C164" s="350"/>
      <c r="D164" s="295"/>
      <c r="E164" s="295"/>
      <c r="F164" s="295"/>
      <c r="G164" s="295"/>
      <c r="H164" s="295"/>
      <c r="I164" s="351"/>
      <c r="J164" s="295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  <c r="Y164" s="295"/>
      <c r="Z164" s="295"/>
      <c r="AA164" s="295"/>
      <c r="AB164" s="295"/>
      <c r="AC164" s="295"/>
    </row>
    <row r="165">
      <c r="A165" s="295"/>
      <c r="B165" s="350"/>
      <c r="C165" s="350"/>
      <c r="D165" s="295"/>
      <c r="E165" s="295"/>
      <c r="F165" s="295"/>
      <c r="G165" s="295"/>
      <c r="H165" s="295"/>
      <c r="I165" s="351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  <c r="AA165" s="295"/>
      <c r="AB165" s="295"/>
      <c r="AC165" s="295"/>
    </row>
    <row r="166">
      <c r="A166" s="295"/>
      <c r="B166" s="350"/>
      <c r="C166" s="350"/>
      <c r="D166" s="295"/>
      <c r="E166" s="295"/>
      <c r="F166" s="295"/>
      <c r="G166" s="295"/>
      <c r="H166" s="295"/>
      <c r="I166" s="351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</row>
    <row r="167">
      <c r="A167" s="295"/>
      <c r="B167" s="350"/>
      <c r="C167" s="350"/>
      <c r="D167" s="295"/>
      <c r="E167" s="295"/>
      <c r="F167" s="295"/>
      <c r="G167" s="295"/>
      <c r="H167" s="295"/>
      <c r="I167" s="351"/>
      <c r="J167" s="295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  <c r="Y167" s="295"/>
      <c r="Z167" s="295"/>
      <c r="AA167" s="295"/>
      <c r="AB167" s="295"/>
      <c r="AC167" s="295"/>
    </row>
    <row r="168">
      <c r="A168" s="295"/>
      <c r="B168" s="350"/>
      <c r="C168" s="350"/>
      <c r="D168" s="295"/>
      <c r="E168" s="295"/>
      <c r="F168" s="295"/>
      <c r="G168" s="295"/>
      <c r="H168" s="295"/>
      <c r="I168" s="351"/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</row>
    <row r="169">
      <c r="A169" s="295"/>
      <c r="B169" s="350"/>
      <c r="C169" s="350"/>
      <c r="D169" s="295"/>
      <c r="E169" s="295"/>
      <c r="F169" s="295"/>
      <c r="G169" s="295"/>
      <c r="H169" s="295"/>
      <c r="I169" s="351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</row>
    <row r="170">
      <c r="A170" s="295"/>
      <c r="B170" s="350"/>
      <c r="C170" s="350"/>
      <c r="D170" s="295"/>
      <c r="E170" s="295"/>
      <c r="F170" s="295"/>
      <c r="G170" s="295"/>
      <c r="H170" s="295"/>
      <c r="I170" s="351"/>
      <c r="J170" s="295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  <c r="AA170" s="295"/>
      <c r="AB170" s="295"/>
      <c r="AC170" s="295"/>
    </row>
    <row r="171">
      <c r="A171" s="295"/>
      <c r="B171" s="350"/>
      <c r="C171" s="350"/>
      <c r="D171" s="295"/>
      <c r="E171" s="295"/>
      <c r="F171" s="295"/>
      <c r="G171" s="295"/>
      <c r="H171" s="295"/>
      <c r="I171" s="351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</row>
    <row r="172">
      <c r="A172" s="295"/>
      <c r="B172" s="350"/>
      <c r="C172" s="350"/>
      <c r="D172" s="295"/>
      <c r="E172" s="295"/>
      <c r="F172" s="295"/>
      <c r="G172" s="295"/>
      <c r="H172" s="295"/>
      <c r="I172" s="351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  <c r="Y172" s="295"/>
      <c r="Z172" s="295"/>
      <c r="AA172" s="295"/>
      <c r="AB172" s="295"/>
      <c r="AC172" s="295"/>
    </row>
    <row r="173">
      <c r="A173" s="295"/>
      <c r="B173" s="350"/>
      <c r="C173" s="350"/>
      <c r="D173" s="295"/>
      <c r="E173" s="295"/>
      <c r="F173" s="295"/>
      <c r="G173" s="295"/>
      <c r="H173" s="295"/>
      <c r="I173" s="351"/>
      <c r="J173" s="295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  <c r="Y173" s="295"/>
      <c r="Z173" s="295"/>
      <c r="AA173" s="295"/>
      <c r="AB173" s="295"/>
      <c r="AC173" s="295"/>
    </row>
    <row r="174">
      <c r="A174" s="295"/>
      <c r="B174" s="350"/>
      <c r="C174" s="350"/>
      <c r="D174" s="295"/>
      <c r="E174" s="295"/>
      <c r="F174" s="295"/>
      <c r="G174" s="295"/>
      <c r="H174" s="295"/>
      <c r="I174" s="351"/>
      <c r="J174" s="295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  <c r="AA174" s="295"/>
      <c r="AB174" s="295"/>
      <c r="AC174" s="295"/>
    </row>
    <row r="175">
      <c r="A175" s="295"/>
      <c r="B175" s="350"/>
      <c r="C175" s="350"/>
      <c r="D175" s="295"/>
      <c r="E175" s="295"/>
      <c r="F175" s="295"/>
      <c r="G175" s="295"/>
      <c r="H175" s="295"/>
      <c r="I175" s="351"/>
      <c r="J175" s="295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  <c r="Y175" s="295"/>
      <c r="Z175" s="295"/>
      <c r="AA175" s="295"/>
      <c r="AB175" s="295"/>
      <c r="AC175" s="295"/>
    </row>
    <row r="176">
      <c r="A176" s="295"/>
      <c r="B176" s="350"/>
      <c r="C176" s="350"/>
      <c r="D176" s="295"/>
      <c r="E176" s="295"/>
      <c r="F176" s="295"/>
      <c r="G176" s="295"/>
      <c r="H176" s="295"/>
      <c r="I176" s="351"/>
      <c r="J176" s="295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  <c r="AA176" s="295"/>
      <c r="AB176" s="295"/>
      <c r="AC176" s="295"/>
    </row>
    <row r="177">
      <c r="A177" s="295"/>
      <c r="B177" s="350"/>
      <c r="C177" s="350"/>
      <c r="D177" s="295"/>
      <c r="E177" s="295"/>
      <c r="F177" s="295"/>
      <c r="G177" s="295"/>
      <c r="H177" s="295"/>
      <c r="I177" s="351"/>
      <c r="J177" s="295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  <c r="AA177" s="295"/>
      <c r="AB177" s="295"/>
      <c r="AC177" s="295"/>
    </row>
    <row r="178">
      <c r="A178" s="295"/>
      <c r="B178" s="350"/>
      <c r="C178" s="350"/>
      <c r="D178" s="295"/>
      <c r="E178" s="295"/>
      <c r="F178" s="295"/>
      <c r="G178" s="295"/>
      <c r="H178" s="295"/>
      <c r="I178" s="351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295"/>
      <c r="AB178" s="295"/>
      <c r="AC178" s="295"/>
    </row>
    <row r="179">
      <c r="A179" s="295"/>
      <c r="B179" s="350"/>
      <c r="C179" s="350"/>
      <c r="D179" s="295"/>
      <c r="E179" s="295"/>
      <c r="F179" s="295"/>
      <c r="G179" s="295"/>
      <c r="H179" s="295"/>
      <c r="I179" s="351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</row>
    <row r="180">
      <c r="A180" s="295"/>
      <c r="B180" s="350"/>
      <c r="C180" s="350"/>
      <c r="D180" s="295"/>
      <c r="E180" s="295"/>
      <c r="F180" s="295"/>
      <c r="G180" s="295"/>
      <c r="H180" s="295"/>
      <c r="I180" s="351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  <c r="AA180" s="295"/>
      <c r="AB180" s="295"/>
      <c r="AC180" s="295"/>
    </row>
    <row r="181">
      <c r="A181" s="295"/>
      <c r="B181" s="350"/>
      <c r="C181" s="350"/>
      <c r="D181" s="295"/>
      <c r="E181" s="295"/>
      <c r="F181" s="295"/>
      <c r="G181" s="295"/>
      <c r="H181" s="295"/>
      <c r="I181" s="351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  <c r="AA181" s="295"/>
      <c r="AB181" s="295"/>
      <c r="AC181" s="295"/>
    </row>
    <row r="182">
      <c r="A182" s="295"/>
      <c r="B182" s="350"/>
      <c r="C182" s="350"/>
      <c r="D182" s="295"/>
      <c r="E182" s="295"/>
      <c r="F182" s="295"/>
      <c r="G182" s="295"/>
      <c r="H182" s="295"/>
      <c r="I182" s="351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295"/>
      <c r="AB182" s="295"/>
      <c r="AC182" s="295"/>
    </row>
    <row r="183">
      <c r="A183" s="295"/>
      <c r="B183" s="350"/>
      <c r="C183" s="350"/>
      <c r="D183" s="295"/>
      <c r="E183" s="295"/>
      <c r="F183" s="295"/>
      <c r="G183" s="295"/>
      <c r="H183" s="295"/>
      <c r="I183" s="351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  <c r="AA183" s="295"/>
      <c r="AB183" s="295"/>
      <c r="AC183" s="295"/>
    </row>
    <row r="184">
      <c r="A184" s="295"/>
      <c r="B184" s="350"/>
      <c r="C184" s="350"/>
      <c r="D184" s="295"/>
      <c r="E184" s="295"/>
      <c r="F184" s="295"/>
      <c r="G184" s="295"/>
      <c r="H184" s="295"/>
      <c r="I184" s="351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295"/>
      <c r="AB184" s="295"/>
      <c r="AC184" s="295"/>
    </row>
    <row r="185">
      <c r="A185" s="295"/>
      <c r="B185" s="350"/>
      <c r="C185" s="350"/>
      <c r="D185" s="295"/>
      <c r="E185" s="295"/>
      <c r="F185" s="295"/>
      <c r="G185" s="295"/>
      <c r="H185" s="295"/>
      <c r="I185" s="351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</row>
    <row r="186">
      <c r="A186" s="295"/>
      <c r="B186" s="350"/>
      <c r="C186" s="350"/>
      <c r="D186" s="295"/>
      <c r="E186" s="295"/>
      <c r="F186" s="295"/>
      <c r="G186" s="295"/>
      <c r="H186" s="295"/>
      <c r="I186" s="351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</row>
    <row r="187">
      <c r="A187" s="295"/>
      <c r="B187" s="350"/>
      <c r="C187" s="350"/>
      <c r="D187" s="295"/>
      <c r="E187" s="295"/>
      <c r="F187" s="295"/>
      <c r="G187" s="295"/>
      <c r="H187" s="295"/>
      <c r="I187" s="351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</row>
    <row r="188">
      <c r="A188" s="295"/>
      <c r="B188" s="350"/>
      <c r="C188" s="350"/>
      <c r="D188" s="295"/>
      <c r="E188" s="295"/>
      <c r="F188" s="295"/>
      <c r="G188" s="295"/>
      <c r="H188" s="295"/>
      <c r="I188" s="351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</row>
    <row r="189">
      <c r="A189" s="295"/>
      <c r="B189" s="350"/>
      <c r="C189" s="350"/>
      <c r="D189" s="295"/>
      <c r="E189" s="295"/>
      <c r="F189" s="295"/>
      <c r="G189" s="295"/>
      <c r="H189" s="295"/>
      <c r="I189" s="351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  <c r="AA189" s="295"/>
      <c r="AB189" s="295"/>
      <c r="AC189" s="295"/>
    </row>
    <row r="190">
      <c r="A190" s="295"/>
      <c r="B190" s="350"/>
      <c r="C190" s="350"/>
      <c r="D190" s="295"/>
      <c r="E190" s="295"/>
      <c r="F190" s="295"/>
      <c r="G190" s="295"/>
      <c r="H190" s="295"/>
      <c r="I190" s="351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295"/>
      <c r="AC190" s="295"/>
    </row>
    <row r="191">
      <c r="A191" s="295"/>
      <c r="B191" s="350"/>
      <c r="C191" s="350"/>
      <c r="D191" s="295"/>
      <c r="E191" s="295"/>
      <c r="F191" s="295"/>
      <c r="G191" s="295"/>
      <c r="H191" s="295"/>
      <c r="I191" s="351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</row>
    <row r="192">
      <c r="A192" s="295"/>
      <c r="B192" s="350"/>
      <c r="C192" s="350"/>
      <c r="D192" s="295"/>
      <c r="E192" s="295"/>
      <c r="F192" s="295"/>
      <c r="G192" s="295"/>
      <c r="H192" s="295"/>
      <c r="I192" s="351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</row>
    <row r="193">
      <c r="A193" s="295"/>
      <c r="B193" s="350"/>
      <c r="C193" s="350"/>
      <c r="D193" s="295"/>
      <c r="E193" s="295"/>
      <c r="F193" s="295"/>
      <c r="G193" s="295"/>
      <c r="H193" s="295"/>
      <c r="I193" s="351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</row>
    <row r="194">
      <c r="A194" s="295"/>
      <c r="B194" s="350"/>
      <c r="C194" s="350"/>
      <c r="D194" s="295"/>
      <c r="E194" s="295"/>
      <c r="F194" s="295"/>
      <c r="G194" s="295"/>
      <c r="H194" s="295"/>
      <c r="I194" s="351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</row>
    <row r="195">
      <c r="A195" s="295"/>
      <c r="B195" s="350"/>
      <c r="C195" s="350"/>
      <c r="D195" s="295"/>
      <c r="E195" s="295"/>
      <c r="F195" s="295"/>
      <c r="G195" s="295"/>
      <c r="H195" s="295"/>
      <c r="I195" s="351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</row>
    <row r="196">
      <c r="A196" s="295"/>
      <c r="B196" s="350"/>
      <c r="C196" s="350"/>
      <c r="D196" s="295"/>
      <c r="E196" s="295"/>
      <c r="F196" s="295"/>
      <c r="G196" s="295"/>
      <c r="H196" s="295"/>
      <c r="I196" s="351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</row>
    <row r="197">
      <c r="A197" s="295"/>
      <c r="B197" s="350"/>
      <c r="C197" s="350"/>
      <c r="D197" s="295"/>
      <c r="E197" s="295"/>
      <c r="F197" s="295"/>
      <c r="G197" s="295"/>
      <c r="H197" s="295"/>
      <c r="I197" s="351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</row>
    <row r="198">
      <c r="A198" s="295"/>
      <c r="B198" s="350"/>
      <c r="C198" s="350"/>
      <c r="D198" s="295"/>
      <c r="E198" s="295"/>
      <c r="F198" s="295"/>
      <c r="G198" s="295"/>
      <c r="H198" s="295"/>
      <c r="I198" s="351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</row>
    <row r="199">
      <c r="A199" s="295"/>
      <c r="B199" s="350"/>
      <c r="C199" s="350"/>
      <c r="D199" s="295"/>
      <c r="E199" s="295"/>
      <c r="F199" s="295"/>
      <c r="G199" s="295"/>
      <c r="H199" s="295"/>
      <c r="I199" s="351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</row>
    <row r="200">
      <c r="A200" s="295"/>
      <c r="B200" s="350"/>
      <c r="C200" s="350"/>
      <c r="D200" s="295"/>
      <c r="E200" s="295"/>
      <c r="F200" s="295"/>
      <c r="G200" s="295"/>
      <c r="H200" s="295"/>
      <c r="I200" s="351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</row>
    <row r="201">
      <c r="A201" s="295"/>
      <c r="B201" s="350"/>
      <c r="C201" s="350"/>
      <c r="D201" s="295"/>
      <c r="E201" s="295"/>
      <c r="F201" s="295"/>
      <c r="G201" s="295"/>
      <c r="H201" s="295"/>
      <c r="I201" s="351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</row>
    <row r="202">
      <c r="A202" s="295"/>
      <c r="B202" s="350"/>
      <c r="C202" s="350"/>
      <c r="D202" s="295"/>
      <c r="E202" s="295"/>
      <c r="F202" s="295"/>
      <c r="G202" s="295"/>
      <c r="H202" s="295"/>
      <c r="I202" s="351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</row>
    <row r="203">
      <c r="A203" s="295"/>
      <c r="B203" s="350"/>
      <c r="C203" s="350"/>
      <c r="D203" s="295"/>
      <c r="E203" s="295"/>
      <c r="F203" s="295"/>
      <c r="G203" s="295"/>
      <c r="H203" s="295"/>
      <c r="I203" s="351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</row>
    <row r="204">
      <c r="A204" s="295"/>
      <c r="B204" s="350"/>
      <c r="C204" s="350"/>
      <c r="D204" s="295"/>
      <c r="E204" s="295"/>
      <c r="F204" s="295"/>
      <c r="G204" s="295"/>
      <c r="H204" s="295"/>
      <c r="I204" s="351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</row>
    <row r="205">
      <c r="A205" s="295"/>
      <c r="B205" s="350"/>
      <c r="C205" s="350"/>
      <c r="D205" s="295"/>
      <c r="E205" s="295"/>
      <c r="F205" s="295"/>
      <c r="G205" s="295"/>
      <c r="H205" s="295"/>
      <c r="I205" s="351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</row>
    <row r="206">
      <c r="A206" s="295"/>
      <c r="B206" s="350"/>
      <c r="C206" s="350"/>
      <c r="D206" s="295"/>
      <c r="E206" s="295"/>
      <c r="F206" s="295"/>
      <c r="G206" s="295"/>
      <c r="H206" s="295"/>
      <c r="I206" s="351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</row>
    <row r="207">
      <c r="A207" s="295"/>
      <c r="B207" s="350"/>
      <c r="C207" s="350"/>
      <c r="D207" s="295"/>
      <c r="E207" s="295"/>
      <c r="F207" s="295"/>
      <c r="G207" s="295"/>
      <c r="H207" s="295"/>
      <c r="I207" s="351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</row>
    <row r="208">
      <c r="A208" s="295"/>
      <c r="B208" s="350"/>
      <c r="C208" s="350"/>
      <c r="D208" s="295"/>
      <c r="E208" s="295"/>
      <c r="F208" s="295"/>
      <c r="G208" s="295"/>
      <c r="H208" s="295"/>
      <c r="I208" s="351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</row>
    <row r="209">
      <c r="A209" s="295"/>
      <c r="B209" s="350"/>
      <c r="C209" s="350"/>
      <c r="D209" s="295"/>
      <c r="E209" s="295"/>
      <c r="F209" s="295"/>
      <c r="G209" s="295"/>
      <c r="H209" s="295"/>
      <c r="I209" s="351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</row>
    <row r="210">
      <c r="A210" s="295"/>
      <c r="B210" s="350"/>
      <c r="C210" s="350"/>
      <c r="D210" s="295"/>
      <c r="E210" s="295"/>
      <c r="F210" s="295"/>
      <c r="G210" s="295"/>
      <c r="H210" s="295"/>
      <c r="I210" s="351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</row>
    <row r="211">
      <c r="A211" s="295"/>
      <c r="B211" s="350"/>
      <c r="C211" s="350"/>
      <c r="D211" s="295"/>
      <c r="E211" s="295"/>
      <c r="F211" s="295"/>
      <c r="G211" s="295"/>
      <c r="H211" s="295"/>
      <c r="I211" s="351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</row>
    <row r="212">
      <c r="A212" s="295"/>
      <c r="B212" s="350"/>
      <c r="C212" s="350"/>
      <c r="D212" s="295"/>
      <c r="E212" s="295"/>
      <c r="F212" s="295"/>
      <c r="G212" s="295"/>
      <c r="H212" s="295"/>
      <c r="I212" s="351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</row>
    <row r="213">
      <c r="A213" s="295"/>
      <c r="B213" s="350"/>
      <c r="C213" s="350"/>
      <c r="D213" s="295"/>
      <c r="E213" s="295"/>
      <c r="F213" s="295"/>
      <c r="G213" s="295"/>
      <c r="H213" s="295"/>
      <c r="I213" s="351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</row>
    <row r="214">
      <c r="A214" s="295"/>
      <c r="B214" s="350"/>
      <c r="C214" s="350"/>
      <c r="D214" s="295"/>
      <c r="E214" s="295"/>
      <c r="F214" s="295"/>
      <c r="G214" s="295"/>
      <c r="H214" s="295"/>
      <c r="I214" s="351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</row>
    <row r="215">
      <c r="A215" s="295"/>
      <c r="B215" s="350"/>
      <c r="C215" s="350"/>
      <c r="D215" s="295"/>
      <c r="E215" s="295"/>
      <c r="F215" s="295"/>
      <c r="G215" s="295"/>
      <c r="H215" s="295"/>
      <c r="I215" s="351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</row>
    <row r="216">
      <c r="A216" s="295"/>
      <c r="B216" s="350"/>
      <c r="C216" s="350"/>
      <c r="D216" s="295"/>
      <c r="E216" s="295"/>
      <c r="F216" s="295"/>
      <c r="G216" s="295"/>
      <c r="H216" s="295"/>
      <c r="I216" s="351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</row>
    <row r="217">
      <c r="A217" s="295"/>
      <c r="B217" s="350"/>
      <c r="C217" s="350"/>
      <c r="D217" s="295"/>
      <c r="E217" s="295"/>
      <c r="F217" s="295"/>
      <c r="G217" s="295"/>
      <c r="H217" s="295"/>
      <c r="I217" s="351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</row>
    <row r="218">
      <c r="A218" s="295"/>
      <c r="B218" s="350"/>
      <c r="C218" s="350"/>
      <c r="D218" s="295"/>
      <c r="E218" s="295"/>
      <c r="F218" s="295"/>
      <c r="G218" s="295"/>
      <c r="H218" s="295"/>
      <c r="I218" s="351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</row>
    <row r="219">
      <c r="A219" s="295"/>
      <c r="B219" s="350"/>
      <c r="C219" s="350"/>
      <c r="D219" s="295"/>
      <c r="E219" s="295"/>
      <c r="F219" s="295"/>
      <c r="G219" s="295"/>
      <c r="H219" s="295"/>
      <c r="I219" s="351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</row>
    <row r="220">
      <c r="A220" s="295"/>
      <c r="B220" s="350"/>
      <c r="C220" s="350"/>
      <c r="D220" s="295"/>
      <c r="E220" s="295"/>
      <c r="F220" s="295"/>
      <c r="G220" s="295"/>
      <c r="H220" s="295"/>
      <c r="I220" s="351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</row>
    <row r="221">
      <c r="A221" s="295"/>
      <c r="B221" s="350"/>
      <c r="C221" s="350"/>
      <c r="D221" s="295"/>
      <c r="E221" s="295"/>
      <c r="F221" s="295"/>
      <c r="G221" s="295"/>
      <c r="H221" s="295"/>
      <c r="I221" s="351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</row>
    <row r="222">
      <c r="A222" s="295"/>
      <c r="B222" s="350"/>
      <c r="C222" s="350"/>
      <c r="D222" s="295"/>
      <c r="E222" s="295"/>
      <c r="F222" s="295"/>
      <c r="G222" s="295"/>
      <c r="H222" s="295"/>
      <c r="I222" s="351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295"/>
      <c r="AB222" s="295"/>
      <c r="AC222" s="295"/>
    </row>
    <row r="223">
      <c r="A223" s="295"/>
      <c r="B223" s="350"/>
      <c r="C223" s="350"/>
      <c r="D223" s="295"/>
      <c r="E223" s="295"/>
      <c r="F223" s="295"/>
      <c r="G223" s="295"/>
      <c r="H223" s="295"/>
      <c r="I223" s="351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</row>
    <row r="224">
      <c r="A224" s="295"/>
      <c r="B224" s="350"/>
      <c r="C224" s="350"/>
      <c r="D224" s="295"/>
      <c r="E224" s="295"/>
      <c r="F224" s="295"/>
      <c r="G224" s="295"/>
      <c r="H224" s="295"/>
      <c r="I224" s="351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  <c r="AA224" s="295"/>
      <c r="AB224" s="295"/>
      <c r="AC224" s="295"/>
    </row>
    <row r="225">
      <c r="A225" s="295"/>
      <c r="B225" s="350"/>
      <c r="C225" s="350"/>
      <c r="D225" s="295"/>
      <c r="E225" s="295"/>
      <c r="F225" s="295"/>
      <c r="G225" s="295"/>
      <c r="H225" s="295"/>
      <c r="I225" s="351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295"/>
      <c r="AB225" s="295"/>
      <c r="AC225" s="295"/>
    </row>
    <row r="226">
      <c r="A226" s="295"/>
      <c r="B226" s="350"/>
      <c r="C226" s="350"/>
      <c r="D226" s="295"/>
      <c r="E226" s="295"/>
      <c r="F226" s="295"/>
      <c r="G226" s="295"/>
      <c r="H226" s="295"/>
      <c r="I226" s="351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  <c r="AA226" s="295"/>
      <c r="AB226" s="295"/>
      <c r="AC226" s="295"/>
    </row>
    <row r="227">
      <c r="A227" s="295"/>
      <c r="B227" s="350"/>
      <c r="C227" s="350"/>
      <c r="D227" s="295"/>
      <c r="E227" s="295"/>
      <c r="F227" s="295"/>
      <c r="G227" s="295"/>
      <c r="H227" s="295"/>
      <c r="I227" s="351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  <c r="AA227" s="295"/>
      <c r="AB227" s="295"/>
      <c r="AC227" s="295"/>
    </row>
    <row r="228">
      <c r="A228" s="295"/>
      <c r="B228" s="350"/>
      <c r="C228" s="350"/>
      <c r="D228" s="295"/>
      <c r="E228" s="295"/>
      <c r="F228" s="295"/>
      <c r="G228" s="295"/>
      <c r="H228" s="295"/>
      <c r="I228" s="351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295"/>
      <c r="AB228" s="295"/>
      <c r="AC228" s="295"/>
    </row>
    <row r="229">
      <c r="A229" s="295"/>
      <c r="B229" s="350"/>
      <c r="C229" s="350"/>
      <c r="D229" s="295"/>
      <c r="E229" s="295"/>
      <c r="F229" s="295"/>
      <c r="G229" s="295"/>
      <c r="H229" s="295"/>
      <c r="I229" s="351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  <c r="AA229" s="295"/>
      <c r="AB229" s="295"/>
      <c r="AC229" s="295"/>
    </row>
    <row r="230">
      <c r="A230" s="295"/>
      <c r="B230" s="350"/>
      <c r="C230" s="350"/>
      <c r="D230" s="295"/>
      <c r="E230" s="295"/>
      <c r="F230" s="295"/>
      <c r="G230" s="295"/>
      <c r="H230" s="295"/>
      <c r="I230" s="351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  <c r="AA230" s="295"/>
      <c r="AB230" s="295"/>
      <c r="AC230" s="295"/>
    </row>
    <row r="231">
      <c r="A231" s="295"/>
      <c r="B231" s="350"/>
      <c r="C231" s="350"/>
      <c r="D231" s="295"/>
      <c r="E231" s="295"/>
      <c r="F231" s="295"/>
      <c r="G231" s="295"/>
      <c r="H231" s="295"/>
      <c r="I231" s="351"/>
      <c r="J231" s="295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  <c r="Y231" s="295"/>
      <c r="Z231" s="295"/>
      <c r="AA231" s="295"/>
      <c r="AB231" s="295"/>
      <c r="AC231" s="295"/>
    </row>
    <row r="232">
      <c r="A232" s="295"/>
      <c r="B232" s="350"/>
      <c r="C232" s="350"/>
      <c r="D232" s="295"/>
      <c r="E232" s="295"/>
      <c r="F232" s="295"/>
      <c r="G232" s="295"/>
      <c r="H232" s="295"/>
      <c r="I232" s="351"/>
      <c r="J232" s="295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  <c r="X232" s="295"/>
      <c r="Y232" s="295"/>
      <c r="Z232" s="295"/>
      <c r="AA232" s="295"/>
      <c r="AB232" s="295"/>
      <c r="AC232" s="295"/>
    </row>
    <row r="233">
      <c r="A233" s="295"/>
      <c r="B233" s="350"/>
      <c r="C233" s="350"/>
      <c r="D233" s="295"/>
      <c r="E233" s="295"/>
      <c r="F233" s="295"/>
      <c r="G233" s="295"/>
      <c r="H233" s="295"/>
      <c r="I233" s="351"/>
      <c r="J233" s="295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  <c r="X233" s="295"/>
      <c r="Y233" s="295"/>
      <c r="Z233" s="295"/>
      <c r="AA233" s="295"/>
      <c r="AB233" s="295"/>
      <c r="AC233" s="295"/>
    </row>
    <row r="234">
      <c r="A234" s="295"/>
      <c r="B234" s="350"/>
      <c r="C234" s="350"/>
      <c r="D234" s="295"/>
      <c r="E234" s="295"/>
      <c r="F234" s="295"/>
      <c r="G234" s="295"/>
      <c r="H234" s="295"/>
      <c r="I234" s="351"/>
      <c r="J234" s="295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  <c r="X234" s="295"/>
      <c r="Y234" s="295"/>
      <c r="Z234" s="295"/>
      <c r="AA234" s="295"/>
      <c r="AB234" s="295"/>
      <c r="AC234" s="295"/>
    </row>
    <row r="235">
      <c r="A235" s="295"/>
      <c r="B235" s="350"/>
      <c r="C235" s="350"/>
      <c r="D235" s="295"/>
      <c r="E235" s="295"/>
      <c r="F235" s="295"/>
      <c r="G235" s="295"/>
      <c r="H235" s="295"/>
      <c r="I235" s="351"/>
      <c r="J235" s="295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  <c r="AA235" s="295"/>
      <c r="AB235" s="295"/>
      <c r="AC235" s="295"/>
    </row>
    <row r="236">
      <c r="A236" s="295"/>
      <c r="B236" s="350"/>
      <c r="C236" s="350"/>
      <c r="D236" s="295"/>
      <c r="E236" s="295"/>
      <c r="F236" s="295"/>
      <c r="G236" s="295"/>
      <c r="H236" s="295"/>
      <c r="I236" s="351"/>
      <c r="J236" s="295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  <c r="X236" s="295"/>
      <c r="Y236" s="295"/>
      <c r="Z236" s="295"/>
      <c r="AA236" s="295"/>
      <c r="AB236" s="295"/>
      <c r="AC236" s="295"/>
    </row>
    <row r="237">
      <c r="A237" s="295"/>
      <c r="B237" s="350"/>
      <c r="C237" s="350"/>
      <c r="D237" s="295"/>
      <c r="E237" s="295"/>
      <c r="F237" s="295"/>
      <c r="G237" s="295"/>
      <c r="H237" s="295"/>
      <c r="I237" s="351"/>
      <c r="J237" s="295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  <c r="X237" s="295"/>
      <c r="Y237" s="295"/>
      <c r="Z237" s="295"/>
      <c r="AA237" s="295"/>
      <c r="AB237" s="295"/>
      <c r="AC237" s="295"/>
    </row>
    <row r="238">
      <c r="A238" s="295"/>
      <c r="B238" s="350"/>
      <c r="C238" s="350"/>
      <c r="D238" s="295"/>
      <c r="E238" s="295"/>
      <c r="F238" s="295"/>
      <c r="G238" s="295"/>
      <c r="H238" s="295"/>
      <c r="I238" s="351"/>
      <c r="J238" s="295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  <c r="AA238" s="295"/>
      <c r="AB238" s="295"/>
      <c r="AC238" s="295"/>
    </row>
    <row r="239">
      <c r="A239" s="295"/>
      <c r="B239" s="350"/>
      <c r="C239" s="350"/>
      <c r="D239" s="295"/>
      <c r="E239" s="295"/>
      <c r="F239" s="295"/>
      <c r="G239" s="295"/>
      <c r="H239" s="295"/>
      <c r="I239" s="351"/>
      <c r="J239" s="295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295"/>
      <c r="AB239" s="295"/>
      <c r="AC239" s="295"/>
    </row>
    <row r="240">
      <c r="A240" s="295"/>
      <c r="B240" s="350"/>
      <c r="C240" s="350"/>
      <c r="D240" s="295"/>
      <c r="E240" s="295"/>
      <c r="F240" s="295"/>
      <c r="G240" s="295"/>
      <c r="H240" s="295"/>
      <c r="I240" s="351"/>
      <c r="J240" s="295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  <c r="X240" s="295"/>
      <c r="Y240" s="295"/>
      <c r="Z240" s="295"/>
      <c r="AA240" s="295"/>
      <c r="AB240" s="295"/>
      <c r="AC240" s="295"/>
    </row>
    <row r="241">
      <c r="A241" s="295"/>
      <c r="B241" s="350"/>
      <c r="C241" s="350"/>
      <c r="D241" s="295"/>
      <c r="E241" s="295"/>
      <c r="F241" s="295"/>
      <c r="G241" s="295"/>
      <c r="H241" s="295"/>
      <c r="I241" s="351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  <c r="AA241" s="295"/>
      <c r="AB241" s="295"/>
      <c r="AC241" s="295"/>
    </row>
    <row r="242">
      <c r="A242" s="295"/>
      <c r="B242" s="350"/>
      <c r="C242" s="350"/>
      <c r="D242" s="295"/>
      <c r="E242" s="295"/>
      <c r="F242" s="295"/>
      <c r="G242" s="295"/>
      <c r="H242" s="295"/>
      <c r="I242" s="351"/>
      <c r="J242" s="295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  <c r="X242" s="295"/>
      <c r="Y242" s="295"/>
      <c r="Z242" s="295"/>
      <c r="AA242" s="295"/>
      <c r="AB242" s="295"/>
      <c r="AC242" s="295"/>
    </row>
    <row r="243">
      <c r="A243" s="295"/>
      <c r="B243" s="350"/>
      <c r="C243" s="350"/>
      <c r="D243" s="295"/>
      <c r="E243" s="295"/>
      <c r="F243" s="295"/>
      <c r="G243" s="295"/>
      <c r="H243" s="295"/>
      <c r="I243" s="351"/>
      <c r="J243" s="295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  <c r="X243" s="295"/>
      <c r="Y243" s="295"/>
      <c r="Z243" s="295"/>
      <c r="AA243" s="295"/>
      <c r="AB243" s="295"/>
      <c r="AC243" s="295"/>
    </row>
    <row r="244">
      <c r="A244" s="295"/>
      <c r="B244" s="350"/>
      <c r="C244" s="350"/>
      <c r="D244" s="295"/>
      <c r="E244" s="295"/>
      <c r="F244" s="295"/>
      <c r="G244" s="295"/>
      <c r="H244" s="295"/>
      <c r="I244" s="351"/>
      <c r="J244" s="295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  <c r="Y244" s="295"/>
      <c r="Z244" s="295"/>
      <c r="AA244" s="295"/>
      <c r="AB244" s="295"/>
      <c r="AC244" s="295"/>
    </row>
    <row r="245">
      <c r="A245" s="295"/>
      <c r="B245" s="350"/>
      <c r="C245" s="350"/>
      <c r="D245" s="295"/>
      <c r="E245" s="295"/>
      <c r="F245" s="295"/>
      <c r="G245" s="295"/>
      <c r="H245" s="295"/>
      <c r="I245" s="351"/>
      <c r="J245" s="295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  <c r="X245" s="295"/>
      <c r="Y245" s="295"/>
      <c r="Z245" s="295"/>
      <c r="AA245" s="295"/>
      <c r="AB245" s="295"/>
      <c r="AC245" s="295"/>
    </row>
    <row r="246">
      <c r="A246" s="295"/>
      <c r="B246" s="350"/>
      <c r="C246" s="350"/>
      <c r="D246" s="295"/>
      <c r="E246" s="295"/>
      <c r="F246" s="295"/>
      <c r="G246" s="295"/>
      <c r="H246" s="295"/>
      <c r="I246" s="351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  <c r="AA246" s="295"/>
      <c r="AB246" s="295"/>
      <c r="AC246" s="295"/>
    </row>
    <row r="247">
      <c r="A247" s="295"/>
      <c r="B247" s="350"/>
      <c r="C247" s="350"/>
      <c r="D247" s="295"/>
      <c r="E247" s="295"/>
      <c r="F247" s="295"/>
      <c r="G247" s="295"/>
      <c r="H247" s="295"/>
      <c r="I247" s="351"/>
      <c r="J247" s="295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  <c r="X247" s="295"/>
      <c r="Y247" s="295"/>
      <c r="Z247" s="295"/>
      <c r="AA247" s="295"/>
      <c r="AB247" s="295"/>
      <c r="AC247" s="295"/>
    </row>
    <row r="248">
      <c r="A248" s="295"/>
      <c r="B248" s="350"/>
      <c r="C248" s="350"/>
      <c r="D248" s="295"/>
      <c r="E248" s="295"/>
      <c r="F248" s="295"/>
      <c r="G248" s="295"/>
      <c r="H248" s="295"/>
      <c r="I248" s="351"/>
      <c r="J248" s="295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  <c r="Y248" s="295"/>
      <c r="Z248" s="295"/>
      <c r="AA248" s="295"/>
      <c r="AB248" s="295"/>
      <c r="AC248" s="295"/>
    </row>
    <row r="249">
      <c r="A249" s="295"/>
      <c r="B249" s="350"/>
      <c r="C249" s="350"/>
      <c r="D249" s="295"/>
      <c r="E249" s="295"/>
      <c r="F249" s="295"/>
      <c r="G249" s="295"/>
      <c r="H249" s="295"/>
      <c r="I249" s="351"/>
      <c r="J249" s="295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  <c r="X249" s="295"/>
      <c r="Y249" s="295"/>
      <c r="Z249" s="295"/>
      <c r="AA249" s="295"/>
      <c r="AB249" s="295"/>
      <c r="AC249" s="295"/>
    </row>
    <row r="250">
      <c r="A250" s="295"/>
      <c r="B250" s="350"/>
      <c r="C250" s="350"/>
      <c r="D250" s="295"/>
      <c r="E250" s="295"/>
      <c r="F250" s="295"/>
      <c r="G250" s="295"/>
      <c r="H250" s="295"/>
      <c r="I250" s="351"/>
      <c r="J250" s="295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  <c r="Y250" s="295"/>
      <c r="Z250" s="295"/>
      <c r="AA250" s="295"/>
      <c r="AB250" s="295"/>
      <c r="AC250" s="295"/>
    </row>
    <row r="251">
      <c r="A251" s="295"/>
      <c r="B251" s="350"/>
      <c r="C251" s="350"/>
      <c r="D251" s="295"/>
      <c r="E251" s="295"/>
      <c r="F251" s="295"/>
      <c r="G251" s="295"/>
      <c r="H251" s="295"/>
      <c r="I251" s="351"/>
      <c r="J251" s="295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  <c r="X251" s="295"/>
      <c r="Y251" s="295"/>
      <c r="Z251" s="295"/>
      <c r="AA251" s="295"/>
      <c r="AB251" s="295"/>
      <c r="AC251" s="295"/>
    </row>
    <row r="252">
      <c r="A252" s="295"/>
      <c r="B252" s="350"/>
      <c r="C252" s="350"/>
      <c r="D252" s="295"/>
      <c r="E252" s="295"/>
      <c r="F252" s="295"/>
      <c r="G252" s="295"/>
      <c r="H252" s="295"/>
      <c r="I252" s="351"/>
      <c r="J252" s="295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  <c r="X252" s="295"/>
      <c r="Y252" s="295"/>
      <c r="Z252" s="295"/>
      <c r="AA252" s="295"/>
      <c r="AB252" s="295"/>
      <c r="AC252" s="295"/>
    </row>
    <row r="253">
      <c r="A253" s="295"/>
      <c r="B253" s="350"/>
      <c r="C253" s="350"/>
      <c r="D253" s="295"/>
      <c r="E253" s="295"/>
      <c r="F253" s="295"/>
      <c r="G253" s="295"/>
      <c r="H253" s="295"/>
      <c r="I253" s="351"/>
      <c r="J253" s="295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  <c r="X253" s="295"/>
      <c r="Y253" s="295"/>
      <c r="Z253" s="295"/>
      <c r="AA253" s="295"/>
      <c r="AB253" s="295"/>
      <c r="AC253" s="295"/>
    </row>
    <row r="254">
      <c r="A254" s="295"/>
      <c r="B254" s="350"/>
      <c r="C254" s="350"/>
      <c r="D254" s="295"/>
      <c r="E254" s="295"/>
      <c r="F254" s="295"/>
      <c r="G254" s="295"/>
      <c r="H254" s="295"/>
      <c r="I254" s="351"/>
      <c r="J254" s="295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  <c r="X254" s="295"/>
      <c r="Y254" s="295"/>
      <c r="Z254" s="295"/>
      <c r="AA254" s="295"/>
      <c r="AB254" s="295"/>
      <c r="AC254" s="295"/>
    </row>
    <row r="255">
      <c r="A255" s="295"/>
      <c r="B255" s="350"/>
      <c r="C255" s="350"/>
      <c r="D255" s="295"/>
      <c r="E255" s="295"/>
      <c r="F255" s="295"/>
      <c r="G255" s="295"/>
      <c r="H255" s="295"/>
      <c r="I255" s="351"/>
      <c r="J255" s="295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  <c r="X255" s="295"/>
      <c r="Y255" s="295"/>
      <c r="Z255" s="295"/>
      <c r="AA255" s="295"/>
      <c r="AB255" s="295"/>
      <c r="AC255" s="295"/>
    </row>
    <row r="256">
      <c r="A256" s="295"/>
      <c r="B256" s="350"/>
      <c r="C256" s="350"/>
      <c r="D256" s="295"/>
      <c r="E256" s="295"/>
      <c r="F256" s="295"/>
      <c r="G256" s="295"/>
      <c r="H256" s="295"/>
      <c r="I256" s="351"/>
      <c r="J256" s="295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  <c r="X256" s="295"/>
      <c r="Y256" s="295"/>
      <c r="Z256" s="295"/>
      <c r="AA256" s="295"/>
      <c r="AB256" s="295"/>
      <c r="AC256" s="295"/>
    </row>
    <row r="257">
      <c r="A257" s="295"/>
      <c r="B257" s="350"/>
      <c r="C257" s="350"/>
      <c r="D257" s="295"/>
      <c r="E257" s="295"/>
      <c r="F257" s="295"/>
      <c r="G257" s="295"/>
      <c r="H257" s="295"/>
      <c r="I257" s="351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  <c r="AA257" s="295"/>
      <c r="AB257" s="295"/>
      <c r="AC257" s="295"/>
    </row>
    <row r="258">
      <c r="A258" s="295"/>
      <c r="B258" s="350"/>
      <c r="C258" s="350"/>
      <c r="D258" s="295"/>
      <c r="E258" s="295"/>
      <c r="F258" s="295"/>
      <c r="G258" s="295"/>
      <c r="H258" s="295"/>
      <c r="I258" s="351"/>
      <c r="J258" s="295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  <c r="X258" s="295"/>
      <c r="Y258" s="295"/>
      <c r="Z258" s="295"/>
      <c r="AA258" s="295"/>
      <c r="AB258" s="295"/>
      <c r="AC258" s="295"/>
    </row>
    <row r="259">
      <c r="A259" s="295"/>
      <c r="B259" s="350"/>
      <c r="C259" s="350"/>
      <c r="D259" s="295"/>
      <c r="E259" s="295"/>
      <c r="F259" s="295"/>
      <c r="G259" s="295"/>
      <c r="H259" s="295"/>
      <c r="I259" s="351"/>
      <c r="J259" s="295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  <c r="X259" s="295"/>
      <c r="Y259" s="295"/>
      <c r="Z259" s="295"/>
      <c r="AA259" s="295"/>
      <c r="AB259" s="295"/>
      <c r="AC259" s="295"/>
    </row>
    <row r="260">
      <c r="A260" s="295"/>
      <c r="B260" s="350"/>
      <c r="C260" s="350"/>
      <c r="D260" s="295"/>
      <c r="E260" s="295"/>
      <c r="F260" s="295"/>
      <c r="G260" s="295"/>
      <c r="H260" s="295"/>
      <c r="I260" s="351"/>
      <c r="J260" s="295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  <c r="X260" s="295"/>
      <c r="Y260" s="295"/>
      <c r="Z260" s="295"/>
      <c r="AA260" s="295"/>
      <c r="AB260" s="295"/>
      <c r="AC260" s="295"/>
    </row>
    <row r="261">
      <c r="A261" s="295"/>
      <c r="B261" s="350"/>
      <c r="C261" s="350"/>
      <c r="D261" s="295"/>
      <c r="E261" s="295"/>
      <c r="F261" s="295"/>
      <c r="G261" s="295"/>
      <c r="H261" s="295"/>
      <c r="I261" s="351"/>
      <c r="J261" s="295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  <c r="X261" s="295"/>
      <c r="Y261" s="295"/>
      <c r="Z261" s="295"/>
      <c r="AA261" s="295"/>
      <c r="AB261" s="295"/>
      <c r="AC261" s="295"/>
    </row>
    <row r="262">
      <c r="A262" s="295"/>
      <c r="B262" s="350"/>
      <c r="C262" s="350"/>
      <c r="D262" s="295"/>
      <c r="E262" s="295"/>
      <c r="F262" s="295"/>
      <c r="G262" s="295"/>
      <c r="H262" s="295"/>
      <c r="I262" s="351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  <c r="X262" s="295"/>
      <c r="Y262" s="295"/>
      <c r="Z262" s="295"/>
      <c r="AA262" s="295"/>
      <c r="AB262" s="295"/>
      <c r="AC262" s="295"/>
    </row>
    <row r="263">
      <c r="A263" s="295"/>
      <c r="B263" s="350"/>
      <c r="C263" s="350"/>
      <c r="D263" s="295"/>
      <c r="E263" s="295"/>
      <c r="F263" s="295"/>
      <c r="G263" s="295"/>
      <c r="H263" s="295"/>
      <c r="I263" s="351"/>
      <c r="J263" s="295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  <c r="X263" s="295"/>
      <c r="Y263" s="295"/>
      <c r="Z263" s="295"/>
      <c r="AA263" s="295"/>
      <c r="AB263" s="295"/>
      <c r="AC263" s="295"/>
    </row>
    <row r="264">
      <c r="A264" s="295"/>
      <c r="B264" s="350"/>
      <c r="C264" s="350"/>
      <c r="D264" s="295"/>
      <c r="E264" s="295"/>
      <c r="F264" s="295"/>
      <c r="G264" s="295"/>
      <c r="H264" s="295"/>
      <c r="I264" s="351"/>
      <c r="J264" s="295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  <c r="X264" s="295"/>
      <c r="Y264" s="295"/>
      <c r="Z264" s="295"/>
      <c r="AA264" s="295"/>
      <c r="AB264" s="295"/>
      <c r="AC264" s="295"/>
    </row>
    <row r="265">
      <c r="A265" s="295"/>
      <c r="B265" s="350"/>
      <c r="C265" s="350"/>
      <c r="D265" s="295"/>
      <c r="E265" s="295"/>
      <c r="F265" s="295"/>
      <c r="G265" s="295"/>
      <c r="H265" s="295"/>
      <c r="I265" s="351"/>
      <c r="J265" s="295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  <c r="X265" s="295"/>
      <c r="Y265" s="295"/>
      <c r="Z265" s="295"/>
      <c r="AA265" s="295"/>
      <c r="AB265" s="295"/>
      <c r="AC265" s="295"/>
    </row>
    <row r="266">
      <c r="A266" s="295"/>
      <c r="B266" s="350"/>
      <c r="C266" s="350"/>
      <c r="D266" s="295"/>
      <c r="E266" s="295"/>
      <c r="F266" s="295"/>
      <c r="G266" s="295"/>
      <c r="H266" s="295"/>
      <c r="I266" s="351"/>
      <c r="J266" s="295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  <c r="X266" s="295"/>
      <c r="Y266" s="295"/>
      <c r="Z266" s="295"/>
      <c r="AA266" s="295"/>
      <c r="AB266" s="295"/>
      <c r="AC266" s="295"/>
    </row>
    <row r="267">
      <c r="A267" s="295"/>
      <c r="B267" s="350"/>
      <c r="C267" s="350"/>
      <c r="D267" s="295"/>
      <c r="E267" s="295"/>
      <c r="F267" s="295"/>
      <c r="G267" s="295"/>
      <c r="H267" s="295"/>
      <c r="I267" s="351"/>
      <c r="J267" s="295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  <c r="X267" s="295"/>
      <c r="Y267" s="295"/>
      <c r="Z267" s="295"/>
      <c r="AA267" s="295"/>
      <c r="AB267" s="295"/>
      <c r="AC267" s="295"/>
    </row>
    <row r="268">
      <c r="A268" s="295"/>
      <c r="B268" s="350"/>
      <c r="C268" s="350"/>
      <c r="D268" s="295"/>
      <c r="E268" s="295"/>
      <c r="F268" s="295"/>
      <c r="G268" s="295"/>
      <c r="H268" s="295"/>
      <c r="I268" s="351"/>
      <c r="J268" s="295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  <c r="X268" s="295"/>
      <c r="Y268" s="295"/>
      <c r="Z268" s="295"/>
      <c r="AA268" s="295"/>
      <c r="AB268" s="295"/>
      <c r="AC268" s="295"/>
    </row>
    <row r="269">
      <c r="A269" s="295"/>
      <c r="B269" s="350"/>
      <c r="C269" s="350"/>
      <c r="D269" s="295"/>
      <c r="E269" s="295"/>
      <c r="F269" s="295"/>
      <c r="G269" s="295"/>
      <c r="H269" s="295"/>
      <c r="I269" s="351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  <c r="AA269" s="295"/>
      <c r="AB269" s="295"/>
      <c r="AC269" s="295"/>
    </row>
    <row r="270">
      <c r="A270" s="295"/>
      <c r="B270" s="350"/>
      <c r="C270" s="350"/>
      <c r="D270" s="295"/>
      <c r="E270" s="295"/>
      <c r="F270" s="295"/>
      <c r="G270" s="295"/>
      <c r="H270" s="295"/>
      <c r="I270" s="351"/>
      <c r="J270" s="295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  <c r="X270" s="295"/>
      <c r="Y270" s="295"/>
      <c r="Z270" s="295"/>
      <c r="AA270" s="295"/>
      <c r="AB270" s="295"/>
      <c r="AC270" s="295"/>
    </row>
    <row r="271">
      <c r="A271" s="295"/>
      <c r="B271" s="350"/>
      <c r="C271" s="350"/>
      <c r="D271" s="295"/>
      <c r="E271" s="295"/>
      <c r="F271" s="295"/>
      <c r="G271" s="295"/>
      <c r="H271" s="295"/>
      <c r="I271" s="351"/>
      <c r="J271" s="295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  <c r="X271" s="295"/>
      <c r="Y271" s="295"/>
      <c r="Z271" s="295"/>
      <c r="AA271" s="295"/>
      <c r="AB271" s="295"/>
      <c r="AC271" s="295"/>
    </row>
    <row r="272">
      <c r="A272" s="295"/>
      <c r="B272" s="350"/>
      <c r="C272" s="350"/>
      <c r="D272" s="295"/>
      <c r="E272" s="295"/>
      <c r="F272" s="295"/>
      <c r="G272" s="295"/>
      <c r="H272" s="295"/>
      <c r="I272" s="351"/>
      <c r="J272" s="295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  <c r="X272" s="295"/>
      <c r="Y272" s="295"/>
      <c r="Z272" s="295"/>
      <c r="AA272" s="295"/>
      <c r="AB272" s="295"/>
      <c r="AC272" s="295"/>
    </row>
    <row r="273">
      <c r="A273" s="295"/>
      <c r="B273" s="350"/>
      <c r="C273" s="350"/>
      <c r="D273" s="295"/>
      <c r="E273" s="295"/>
      <c r="F273" s="295"/>
      <c r="G273" s="295"/>
      <c r="H273" s="295"/>
      <c r="I273" s="351"/>
      <c r="J273" s="295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  <c r="X273" s="295"/>
      <c r="Y273" s="295"/>
      <c r="Z273" s="295"/>
      <c r="AA273" s="295"/>
      <c r="AB273" s="295"/>
      <c r="AC273" s="295"/>
    </row>
    <row r="274">
      <c r="A274" s="295"/>
      <c r="B274" s="350"/>
      <c r="C274" s="350"/>
      <c r="D274" s="295"/>
      <c r="E274" s="295"/>
      <c r="F274" s="295"/>
      <c r="G274" s="295"/>
      <c r="H274" s="295"/>
      <c r="I274" s="351"/>
      <c r="J274" s="295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  <c r="X274" s="295"/>
      <c r="Y274" s="295"/>
      <c r="Z274" s="295"/>
      <c r="AA274" s="295"/>
      <c r="AB274" s="295"/>
      <c r="AC274" s="295"/>
    </row>
    <row r="275">
      <c r="A275" s="295"/>
      <c r="B275" s="350"/>
      <c r="C275" s="350"/>
      <c r="D275" s="295"/>
      <c r="E275" s="295"/>
      <c r="F275" s="295"/>
      <c r="G275" s="295"/>
      <c r="H275" s="295"/>
      <c r="I275" s="351"/>
      <c r="J275" s="295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  <c r="X275" s="295"/>
      <c r="Y275" s="295"/>
      <c r="Z275" s="295"/>
      <c r="AA275" s="295"/>
      <c r="AB275" s="295"/>
      <c r="AC275" s="295"/>
    </row>
    <row r="276">
      <c r="A276" s="295"/>
      <c r="B276" s="350"/>
      <c r="C276" s="350"/>
      <c r="D276" s="295"/>
      <c r="E276" s="295"/>
      <c r="F276" s="295"/>
      <c r="G276" s="295"/>
      <c r="H276" s="295"/>
      <c r="I276" s="351"/>
      <c r="J276" s="295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  <c r="X276" s="295"/>
      <c r="Y276" s="295"/>
      <c r="Z276" s="295"/>
      <c r="AA276" s="295"/>
      <c r="AB276" s="295"/>
      <c r="AC276" s="295"/>
    </row>
    <row r="277">
      <c r="A277" s="295"/>
      <c r="B277" s="350"/>
      <c r="C277" s="350"/>
      <c r="D277" s="295"/>
      <c r="E277" s="295"/>
      <c r="F277" s="295"/>
      <c r="G277" s="295"/>
      <c r="H277" s="295"/>
      <c r="I277" s="351"/>
      <c r="J277" s="295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  <c r="X277" s="295"/>
      <c r="Y277" s="295"/>
      <c r="Z277" s="295"/>
      <c r="AA277" s="295"/>
      <c r="AB277" s="295"/>
      <c r="AC277" s="295"/>
    </row>
    <row r="278">
      <c r="A278" s="295"/>
      <c r="B278" s="350"/>
      <c r="C278" s="350"/>
      <c r="D278" s="295"/>
      <c r="E278" s="295"/>
      <c r="F278" s="295"/>
      <c r="G278" s="295"/>
      <c r="H278" s="295"/>
      <c r="I278" s="351"/>
      <c r="J278" s="295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  <c r="X278" s="295"/>
      <c r="Y278" s="295"/>
      <c r="Z278" s="295"/>
      <c r="AA278" s="295"/>
      <c r="AB278" s="295"/>
      <c r="AC278" s="295"/>
    </row>
    <row r="279">
      <c r="A279" s="295"/>
      <c r="B279" s="350"/>
      <c r="C279" s="350"/>
      <c r="D279" s="295"/>
      <c r="E279" s="295"/>
      <c r="F279" s="295"/>
      <c r="G279" s="295"/>
      <c r="H279" s="295"/>
      <c r="I279" s="351"/>
      <c r="J279" s="295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</row>
    <row r="280">
      <c r="A280" s="295"/>
      <c r="B280" s="350"/>
      <c r="C280" s="350"/>
      <c r="D280" s="295"/>
      <c r="E280" s="295"/>
      <c r="F280" s="295"/>
      <c r="G280" s="295"/>
      <c r="H280" s="295"/>
      <c r="I280" s="351"/>
      <c r="J280" s="295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</row>
    <row r="281">
      <c r="A281" s="295"/>
      <c r="B281" s="350"/>
      <c r="C281" s="350"/>
      <c r="D281" s="295"/>
      <c r="E281" s="295"/>
      <c r="F281" s="295"/>
      <c r="G281" s="295"/>
      <c r="H281" s="295"/>
      <c r="I281" s="351"/>
      <c r="J281" s="295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  <c r="X281" s="295"/>
      <c r="Y281" s="295"/>
      <c r="Z281" s="295"/>
      <c r="AA281" s="295"/>
      <c r="AB281" s="295"/>
      <c r="AC281" s="295"/>
    </row>
    <row r="282">
      <c r="A282" s="295"/>
      <c r="B282" s="350"/>
      <c r="C282" s="350"/>
      <c r="D282" s="295"/>
      <c r="E282" s="295"/>
      <c r="F282" s="295"/>
      <c r="G282" s="295"/>
      <c r="H282" s="295"/>
      <c r="I282" s="351"/>
      <c r="J282" s="295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  <c r="X282" s="295"/>
      <c r="Y282" s="295"/>
      <c r="Z282" s="295"/>
      <c r="AA282" s="295"/>
      <c r="AB282" s="295"/>
      <c r="AC282" s="295"/>
    </row>
    <row r="283">
      <c r="A283" s="295"/>
      <c r="B283" s="350"/>
      <c r="C283" s="350"/>
      <c r="D283" s="295"/>
      <c r="E283" s="295"/>
      <c r="F283" s="295"/>
      <c r="G283" s="295"/>
      <c r="H283" s="295"/>
      <c r="I283" s="351"/>
      <c r="J283" s="295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  <c r="X283" s="295"/>
      <c r="Y283" s="295"/>
      <c r="Z283" s="295"/>
      <c r="AA283" s="295"/>
      <c r="AB283" s="295"/>
      <c r="AC283" s="295"/>
    </row>
    <row r="284">
      <c r="A284" s="295"/>
      <c r="B284" s="350"/>
      <c r="C284" s="350"/>
      <c r="D284" s="295"/>
      <c r="E284" s="295"/>
      <c r="F284" s="295"/>
      <c r="G284" s="295"/>
      <c r="H284" s="295"/>
      <c r="I284" s="351"/>
      <c r="J284" s="295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  <c r="X284" s="295"/>
      <c r="Y284" s="295"/>
      <c r="Z284" s="295"/>
      <c r="AA284" s="295"/>
      <c r="AB284" s="295"/>
      <c r="AC284" s="295"/>
    </row>
    <row r="285">
      <c r="A285" s="295"/>
      <c r="B285" s="350"/>
      <c r="C285" s="350"/>
      <c r="D285" s="295"/>
      <c r="E285" s="295"/>
      <c r="F285" s="295"/>
      <c r="G285" s="295"/>
      <c r="H285" s="295"/>
      <c r="I285" s="351"/>
      <c r="J285" s="295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  <c r="X285" s="295"/>
      <c r="Y285" s="295"/>
      <c r="Z285" s="295"/>
      <c r="AA285" s="295"/>
      <c r="AB285" s="295"/>
      <c r="AC285" s="295"/>
    </row>
    <row r="286">
      <c r="A286" s="295"/>
      <c r="B286" s="350"/>
      <c r="C286" s="350"/>
      <c r="D286" s="295"/>
      <c r="E286" s="295"/>
      <c r="F286" s="295"/>
      <c r="G286" s="295"/>
      <c r="H286" s="295"/>
      <c r="I286" s="351"/>
      <c r="J286" s="295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  <c r="X286" s="295"/>
      <c r="Y286" s="295"/>
      <c r="Z286" s="295"/>
      <c r="AA286" s="295"/>
      <c r="AB286" s="295"/>
      <c r="AC286" s="295"/>
    </row>
    <row r="287">
      <c r="A287" s="295"/>
      <c r="B287" s="350"/>
      <c r="C287" s="350"/>
      <c r="D287" s="295"/>
      <c r="E287" s="295"/>
      <c r="F287" s="295"/>
      <c r="G287" s="295"/>
      <c r="H287" s="295"/>
      <c r="I287" s="351"/>
      <c r="J287" s="295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</row>
    <row r="288">
      <c r="A288" s="295"/>
      <c r="B288" s="350"/>
      <c r="C288" s="350"/>
      <c r="D288" s="295"/>
      <c r="E288" s="295"/>
      <c r="F288" s="295"/>
      <c r="G288" s="295"/>
      <c r="H288" s="295"/>
      <c r="I288" s="351"/>
      <c r="J288" s="295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</row>
    <row r="289">
      <c r="A289" s="295"/>
      <c r="B289" s="350"/>
      <c r="C289" s="350"/>
      <c r="D289" s="295"/>
      <c r="E289" s="295"/>
      <c r="F289" s="295"/>
      <c r="G289" s="295"/>
      <c r="H289" s="295"/>
      <c r="I289" s="351"/>
      <c r="J289" s="295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</row>
    <row r="290">
      <c r="A290" s="295"/>
      <c r="B290" s="350"/>
      <c r="C290" s="350"/>
      <c r="D290" s="295"/>
      <c r="E290" s="295"/>
      <c r="F290" s="295"/>
      <c r="G290" s="295"/>
      <c r="H290" s="295"/>
      <c r="I290" s="351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  <c r="AB290" s="295"/>
      <c r="AC290" s="295"/>
    </row>
    <row r="291">
      <c r="A291" s="295"/>
      <c r="B291" s="350"/>
      <c r="C291" s="350"/>
      <c r="D291" s="295"/>
      <c r="E291" s="295"/>
      <c r="F291" s="295"/>
      <c r="G291" s="295"/>
      <c r="H291" s="295"/>
      <c r="I291" s="351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B291" s="295"/>
      <c r="AC291" s="295"/>
    </row>
    <row r="292">
      <c r="A292" s="295"/>
      <c r="B292" s="350"/>
      <c r="C292" s="350"/>
      <c r="D292" s="295"/>
      <c r="E292" s="295"/>
      <c r="F292" s="295"/>
      <c r="G292" s="295"/>
      <c r="H292" s="295"/>
      <c r="I292" s="351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B292" s="295"/>
      <c r="AC292" s="295"/>
    </row>
    <row r="293">
      <c r="A293" s="295"/>
      <c r="B293" s="350"/>
      <c r="C293" s="350"/>
      <c r="D293" s="295"/>
      <c r="E293" s="295"/>
      <c r="F293" s="295"/>
      <c r="G293" s="295"/>
      <c r="H293" s="295"/>
      <c r="I293" s="351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95"/>
      <c r="AC293" s="295"/>
    </row>
    <row r="294">
      <c r="A294" s="295"/>
      <c r="B294" s="350"/>
      <c r="C294" s="350"/>
      <c r="D294" s="295"/>
      <c r="E294" s="295"/>
      <c r="F294" s="295"/>
      <c r="G294" s="295"/>
      <c r="H294" s="295"/>
      <c r="I294" s="351"/>
      <c r="J294" s="295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  <c r="AB294" s="295"/>
      <c r="AC294" s="295"/>
    </row>
    <row r="295">
      <c r="A295" s="295"/>
      <c r="B295" s="350"/>
      <c r="C295" s="350"/>
      <c r="D295" s="295"/>
      <c r="E295" s="295"/>
      <c r="F295" s="295"/>
      <c r="G295" s="295"/>
      <c r="H295" s="295"/>
      <c r="I295" s="351"/>
      <c r="J295" s="295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  <c r="X295" s="295"/>
      <c r="Y295" s="295"/>
      <c r="Z295" s="295"/>
      <c r="AA295" s="295"/>
      <c r="AB295" s="295"/>
      <c r="AC295" s="295"/>
    </row>
    <row r="296">
      <c r="A296" s="295"/>
      <c r="B296" s="350"/>
      <c r="C296" s="350"/>
      <c r="D296" s="295"/>
      <c r="E296" s="295"/>
      <c r="F296" s="295"/>
      <c r="G296" s="295"/>
      <c r="H296" s="295"/>
      <c r="I296" s="351"/>
      <c r="J296" s="295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  <c r="Y296" s="295"/>
      <c r="Z296" s="295"/>
      <c r="AA296" s="295"/>
      <c r="AB296" s="295"/>
      <c r="AC296" s="295"/>
    </row>
    <row r="297">
      <c r="A297" s="295"/>
      <c r="B297" s="350"/>
      <c r="C297" s="350"/>
      <c r="D297" s="295"/>
      <c r="E297" s="295"/>
      <c r="F297" s="295"/>
      <c r="G297" s="295"/>
      <c r="H297" s="295"/>
      <c r="I297" s="351"/>
      <c r="J297" s="295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  <c r="X297" s="295"/>
      <c r="Y297" s="295"/>
      <c r="Z297" s="295"/>
      <c r="AA297" s="295"/>
      <c r="AB297" s="295"/>
      <c r="AC297" s="295"/>
    </row>
    <row r="298">
      <c r="A298" s="295"/>
      <c r="B298" s="350"/>
      <c r="C298" s="350"/>
      <c r="D298" s="295"/>
      <c r="E298" s="295"/>
      <c r="F298" s="295"/>
      <c r="G298" s="295"/>
      <c r="H298" s="295"/>
      <c r="I298" s="351"/>
      <c r="J298" s="295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  <c r="X298" s="295"/>
      <c r="Y298" s="295"/>
      <c r="Z298" s="295"/>
      <c r="AA298" s="295"/>
      <c r="AB298" s="295"/>
      <c r="AC298" s="295"/>
    </row>
    <row r="299">
      <c r="A299" s="295"/>
      <c r="B299" s="350"/>
      <c r="C299" s="350"/>
      <c r="D299" s="295"/>
      <c r="E299" s="295"/>
      <c r="F299" s="295"/>
      <c r="G299" s="295"/>
      <c r="H299" s="295"/>
      <c r="I299" s="351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  <c r="AA299" s="295"/>
      <c r="AB299" s="295"/>
      <c r="AC299" s="295"/>
    </row>
    <row r="300">
      <c r="A300" s="295"/>
      <c r="B300" s="350"/>
      <c r="C300" s="350"/>
      <c r="D300" s="295"/>
      <c r="E300" s="295"/>
      <c r="F300" s="295"/>
      <c r="G300" s="295"/>
      <c r="H300" s="295"/>
      <c r="I300" s="351"/>
      <c r="J300" s="295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  <c r="X300" s="295"/>
      <c r="Y300" s="295"/>
      <c r="Z300" s="295"/>
      <c r="AA300" s="295"/>
      <c r="AB300" s="295"/>
      <c r="AC300" s="295"/>
    </row>
    <row r="301">
      <c r="A301" s="295"/>
      <c r="B301" s="350"/>
      <c r="C301" s="350"/>
      <c r="D301" s="295"/>
      <c r="E301" s="295"/>
      <c r="F301" s="295"/>
      <c r="G301" s="295"/>
      <c r="H301" s="295"/>
      <c r="I301" s="351"/>
      <c r="J301" s="295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  <c r="X301" s="295"/>
      <c r="Y301" s="295"/>
      <c r="Z301" s="295"/>
      <c r="AA301" s="295"/>
      <c r="AB301" s="295"/>
      <c r="AC301" s="295"/>
    </row>
    <row r="302">
      <c r="A302" s="295"/>
      <c r="B302" s="350"/>
      <c r="C302" s="350"/>
      <c r="D302" s="295"/>
      <c r="E302" s="295"/>
      <c r="F302" s="295"/>
      <c r="G302" s="295"/>
      <c r="H302" s="295"/>
      <c r="I302" s="351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5"/>
      <c r="AC302" s="295"/>
    </row>
    <row r="303">
      <c r="A303" s="295"/>
      <c r="B303" s="350"/>
      <c r="C303" s="350"/>
      <c r="D303" s="295"/>
      <c r="E303" s="295"/>
      <c r="F303" s="295"/>
      <c r="G303" s="295"/>
      <c r="H303" s="295"/>
      <c r="I303" s="351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  <c r="AB303" s="295"/>
      <c r="AC303" s="295"/>
    </row>
    <row r="304">
      <c r="A304" s="295"/>
      <c r="B304" s="350"/>
      <c r="C304" s="350"/>
      <c r="D304" s="295"/>
      <c r="E304" s="295"/>
      <c r="F304" s="295"/>
      <c r="G304" s="295"/>
      <c r="H304" s="295"/>
      <c r="I304" s="351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B304" s="295"/>
      <c r="AC304" s="295"/>
    </row>
    <row r="305">
      <c r="A305" s="295"/>
      <c r="B305" s="350"/>
      <c r="C305" s="350"/>
      <c r="D305" s="295"/>
      <c r="E305" s="295"/>
      <c r="F305" s="295"/>
      <c r="G305" s="295"/>
      <c r="H305" s="295"/>
      <c r="I305" s="351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95"/>
      <c r="AC305" s="295"/>
    </row>
    <row r="306">
      <c r="A306" s="295"/>
      <c r="B306" s="350"/>
      <c r="C306" s="350"/>
      <c r="D306" s="295"/>
      <c r="E306" s="295"/>
      <c r="F306" s="295"/>
      <c r="G306" s="295"/>
      <c r="H306" s="295"/>
      <c r="I306" s="351"/>
      <c r="J306" s="295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  <c r="X306" s="295"/>
      <c r="Y306" s="295"/>
      <c r="Z306" s="295"/>
      <c r="AA306" s="295"/>
      <c r="AB306" s="295"/>
      <c r="AC306" s="295"/>
    </row>
    <row r="307">
      <c r="A307" s="295"/>
      <c r="B307" s="350"/>
      <c r="C307" s="350"/>
      <c r="D307" s="295"/>
      <c r="E307" s="295"/>
      <c r="F307" s="295"/>
      <c r="G307" s="295"/>
      <c r="H307" s="295"/>
      <c r="I307" s="351"/>
      <c r="J307" s="295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  <c r="AA307" s="295"/>
      <c r="AB307" s="295"/>
      <c r="AC307" s="295"/>
    </row>
    <row r="308">
      <c r="A308" s="295"/>
      <c r="B308" s="350"/>
      <c r="C308" s="350"/>
      <c r="D308" s="295"/>
      <c r="E308" s="295"/>
      <c r="F308" s="295"/>
      <c r="G308" s="295"/>
      <c r="H308" s="295"/>
      <c r="I308" s="351"/>
      <c r="J308" s="295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  <c r="Y308" s="295"/>
      <c r="Z308" s="295"/>
      <c r="AA308" s="295"/>
      <c r="AB308" s="295"/>
      <c r="AC308" s="295"/>
    </row>
    <row r="309">
      <c r="A309" s="295"/>
      <c r="B309" s="350"/>
      <c r="C309" s="350"/>
      <c r="D309" s="295"/>
      <c r="E309" s="295"/>
      <c r="F309" s="295"/>
      <c r="G309" s="295"/>
      <c r="H309" s="295"/>
      <c r="I309" s="351"/>
      <c r="J309" s="295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  <c r="Y309" s="295"/>
      <c r="Z309" s="295"/>
      <c r="AA309" s="295"/>
      <c r="AB309" s="295"/>
      <c r="AC309" s="295"/>
    </row>
    <row r="310">
      <c r="A310" s="295"/>
      <c r="B310" s="350"/>
      <c r="C310" s="350"/>
      <c r="D310" s="295"/>
      <c r="E310" s="295"/>
      <c r="F310" s="295"/>
      <c r="G310" s="295"/>
      <c r="H310" s="295"/>
      <c r="I310" s="351"/>
      <c r="J310" s="295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  <c r="X310" s="295"/>
      <c r="Y310" s="295"/>
      <c r="Z310" s="295"/>
      <c r="AA310" s="295"/>
      <c r="AB310" s="295"/>
      <c r="AC310" s="295"/>
    </row>
    <row r="311">
      <c r="A311" s="295"/>
      <c r="B311" s="350"/>
      <c r="C311" s="350"/>
      <c r="D311" s="295"/>
      <c r="E311" s="295"/>
      <c r="F311" s="295"/>
      <c r="G311" s="295"/>
      <c r="H311" s="295"/>
      <c r="I311" s="351"/>
      <c r="J311" s="295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  <c r="Y311" s="295"/>
      <c r="Z311" s="295"/>
      <c r="AA311" s="295"/>
      <c r="AB311" s="295"/>
      <c r="AC311" s="295"/>
    </row>
    <row r="312">
      <c r="A312" s="295"/>
      <c r="B312" s="350"/>
      <c r="C312" s="350"/>
      <c r="D312" s="295"/>
      <c r="E312" s="295"/>
      <c r="F312" s="295"/>
      <c r="G312" s="295"/>
      <c r="H312" s="295"/>
      <c r="I312" s="351"/>
      <c r="J312" s="295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  <c r="Y312" s="295"/>
      <c r="Z312" s="295"/>
      <c r="AA312" s="295"/>
      <c r="AB312" s="295"/>
      <c r="AC312" s="295"/>
    </row>
    <row r="313">
      <c r="A313" s="295"/>
      <c r="B313" s="350"/>
      <c r="C313" s="350"/>
      <c r="D313" s="295"/>
      <c r="E313" s="295"/>
      <c r="F313" s="295"/>
      <c r="G313" s="295"/>
      <c r="H313" s="295"/>
      <c r="I313" s="351"/>
      <c r="J313" s="295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  <c r="Y313" s="295"/>
      <c r="Z313" s="295"/>
      <c r="AA313" s="295"/>
      <c r="AB313" s="295"/>
      <c r="AC313" s="295"/>
    </row>
    <row r="314">
      <c r="A314" s="295"/>
      <c r="B314" s="350"/>
      <c r="C314" s="350"/>
      <c r="D314" s="295"/>
      <c r="E314" s="295"/>
      <c r="F314" s="295"/>
      <c r="G314" s="295"/>
      <c r="H314" s="295"/>
      <c r="I314" s="351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</row>
    <row r="315">
      <c r="A315" s="295"/>
      <c r="B315" s="350"/>
      <c r="C315" s="350"/>
      <c r="D315" s="295"/>
      <c r="E315" s="295"/>
      <c r="F315" s="295"/>
      <c r="G315" s="295"/>
      <c r="H315" s="295"/>
      <c r="I315" s="351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B315" s="295"/>
      <c r="AC315" s="295"/>
    </row>
    <row r="316">
      <c r="A316" s="295"/>
      <c r="B316" s="350"/>
      <c r="C316" s="350"/>
      <c r="D316" s="295"/>
      <c r="E316" s="295"/>
      <c r="F316" s="295"/>
      <c r="G316" s="295"/>
      <c r="H316" s="295"/>
      <c r="I316" s="351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B316" s="295"/>
      <c r="AC316" s="295"/>
    </row>
    <row r="317">
      <c r="A317" s="295"/>
      <c r="B317" s="350"/>
      <c r="C317" s="350"/>
      <c r="D317" s="295"/>
      <c r="E317" s="295"/>
      <c r="F317" s="295"/>
      <c r="G317" s="295"/>
      <c r="H317" s="295"/>
      <c r="I317" s="351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95"/>
      <c r="AC317" s="295"/>
    </row>
    <row r="318">
      <c r="A318" s="295"/>
      <c r="B318" s="350"/>
      <c r="C318" s="350"/>
      <c r="D318" s="295"/>
      <c r="E318" s="295"/>
      <c r="F318" s="295"/>
      <c r="G318" s="295"/>
      <c r="H318" s="295"/>
      <c r="I318" s="351"/>
      <c r="J318" s="295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  <c r="AA318" s="295"/>
      <c r="AB318" s="295"/>
      <c r="AC318" s="295"/>
    </row>
    <row r="319">
      <c r="A319" s="295"/>
      <c r="B319" s="350"/>
      <c r="C319" s="350"/>
      <c r="D319" s="295"/>
      <c r="E319" s="295"/>
      <c r="F319" s="295"/>
      <c r="G319" s="295"/>
      <c r="H319" s="295"/>
      <c r="I319" s="351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  <c r="AB319" s="295"/>
      <c r="AC319" s="295"/>
    </row>
    <row r="320">
      <c r="A320" s="295"/>
      <c r="B320" s="350"/>
      <c r="C320" s="350"/>
      <c r="D320" s="295"/>
      <c r="E320" s="295"/>
      <c r="F320" s="295"/>
      <c r="G320" s="295"/>
      <c r="H320" s="295"/>
      <c r="I320" s="351"/>
      <c r="J320" s="295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  <c r="AA320" s="295"/>
      <c r="AB320" s="295"/>
      <c r="AC320" s="295"/>
    </row>
    <row r="321">
      <c r="A321" s="295"/>
      <c r="B321" s="350"/>
      <c r="C321" s="350"/>
      <c r="D321" s="295"/>
      <c r="E321" s="295"/>
      <c r="F321" s="295"/>
      <c r="G321" s="295"/>
      <c r="H321" s="295"/>
      <c r="I321" s="351"/>
      <c r="J321" s="295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  <c r="Y321" s="295"/>
      <c r="Z321" s="295"/>
      <c r="AA321" s="295"/>
      <c r="AB321" s="295"/>
      <c r="AC321" s="295"/>
    </row>
    <row r="322">
      <c r="A322" s="295"/>
      <c r="B322" s="350"/>
      <c r="C322" s="350"/>
      <c r="D322" s="295"/>
      <c r="E322" s="295"/>
      <c r="F322" s="295"/>
      <c r="G322" s="295"/>
      <c r="H322" s="295"/>
      <c r="I322" s="351"/>
      <c r="J322" s="295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  <c r="Y322" s="295"/>
      <c r="Z322" s="295"/>
      <c r="AA322" s="295"/>
      <c r="AB322" s="295"/>
      <c r="AC322" s="295"/>
    </row>
    <row r="323">
      <c r="A323" s="295"/>
      <c r="B323" s="350"/>
      <c r="C323" s="350"/>
      <c r="D323" s="295"/>
      <c r="E323" s="295"/>
      <c r="F323" s="295"/>
      <c r="G323" s="295"/>
      <c r="H323" s="295"/>
      <c r="I323" s="351"/>
      <c r="J323" s="295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  <c r="AA323" s="295"/>
      <c r="AB323" s="295"/>
      <c r="AC323" s="295"/>
    </row>
    <row r="324">
      <c r="A324" s="295"/>
      <c r="B324" s="350"/>
      <c r="C324" s="350"/>
      <c r="D324" s="295"/>
      <c r="E324" s="295"/>
      <c r="F324" s="295"/>
      <c r="G324" s="295"/>
      <c r="H324" s="295"/>
      <c r="I324" s="351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  <c r="AA324" s="295"/>
      <c r="AB324" s="295"/>
      <c r="AC324" s="295"/>
    </row>
    <row r="325">
      <c r="A325" s="295"/>
      <c r="B325" s="350"/>
      <c r="C325" s="350"/>
      <c r="D325" s="295"/>
      <c r="E325" s="295"/>
      <c r="F325" s="295"/>
      <c r="G325" s="295"/>
      <c r="H325" s="295"/>
      <c r="I325" s="351"/>
      <c r="J325" s="295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  <c r="AA325" s="295"/>
      <c r="AB325" s="295"/>
      <c r="AC325" s="295"/>
    </row>
    <row r="326">
      <c r="A326" s="295"/>
      <c r="B326" s="350"/>
      <c r="C326" s="350"/>
      <c r="D326" s="295"/>
      <c r="E326" s="295"/>
      <c r="F326" s="295"/>
      <c r="G326" s="295"/>
      <c r="H326" s="295"/>
      <c r="I326" s="351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  <c r="AB326" s="295"/>
      <c r="AC326" s="295"/>
    </row>
    <row r="327">
      <c r="A327" s="295"/>
      <c r="B327" s="350"/>
      <c r="C327" s="350"/>
      <c r="D327" s="295"/>
      <c r="E327" s="295"/>
      <c r="F327" s="295"/>
      <c r="G327" s="295"/>
      <c r="H327" s="295"/>
      <c r="I327" s="351"/>
      <c r="J327" s="295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  <c r="Y327" s="295"/>
      <c r="Z327" s="295"/>
      <c r="AA327" s="295"/>
      <c r="AB327" s="295"/>
      <c r="AC327" s="295"/>
    </row>
    <row r="328">
      <c r="A328" s="295"/>
      <c r="B328" s="350"/>
      <c r="C328" s="350"/>
      <c r="D328" s="295"/>
      <c r="E328" s="295"/>
      <c r="F328" s="295"/>
      <c r="G328" s="295"/>
      <c r="H328" s="295"/>
      <c r="I328" s="351"/>
      <c r="J328" s="295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  <c r="AA328" s="295"/>
      <c r="AB328" s="295"/>
      <c r="AC328" s="295"/>
    </row>
    <row r="329">
      <c r="A329" s="295"/>
      <c r="B329" s="350"/>
      <c r="C329" s="350"/>
      <c r="D329" s="295"/>
      <c r="E329" s="295"/>
      <c r="F329" s="295"/>
      <c r="G329" s="295"/>
      <c r="H329" s="295"/>
      <c r="I329" s="351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  <c r="AA329" s="295"/>
      <c r="AB329" s="295"/>
      <c r="AC329" s="295"/>
    </row>
    <row r="330">
      <c r="A330" s="295"/>
      <c r="B330" s="350"/>
      <c r="C330" s="350"/>
      <c r="D330" s="295"/>
      <c r="E330" s="295"/>
      <c r="F330" s="295"/>
      <c r="G330" s="295"/>
      <c r="H330" s="295"/>
      <c r="I330" s="351"/>
      <c r="J330" s="295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  <c r="AA330" s="295"/>
      <c r="AB330" s="295"/>
      <c r="AC330" s="295"/>
    </row>
    <row r="331">
      <c r="A331" s="295"/>
      <c r="B331" s="350"/>
      <c r="C331" s="350"/>
      <c r="D331" s="295"/>
      <c r="E331" s="295"/>
      <c r="F331" s="295"/>
      <c r="G331" s="295"/>
      <c r="H331" s="295"/>
      <c r="I331" s="351"/>
      <c r="J331" s="295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  <c r="AA331" s="295"/>
      <c r="AB331" s="295"/>
      <c r="AC331" s="295"/>
    </row>
    <row r="332">
      <c r="A332" s="295"/>
      <c r="B332" s="350"/>
      <c r="C332" s="350"/>
      <c r="D332" s="295"/>
      <c r="E332" s="295"/>
      <c r="F332" s="295"/>
      <c r="G332" s="295"/>
      <c r="H332" s="295"/>
      <c r="I332" s="351"/>
      <c r="J332" s="295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  <c r="AA332" s="295"/>
      <c r="AB332" s="295"/>
      <c r="AC332" s="295"/>
    </row>
    <row r="333">
      <c r="A333" s="295"/>
      <c r="B333" s="350"/>
      <c r="C333" s="350"/>
      <c r="D333" s="295"/>
      <c r="E333" s="295"/>
      <c r="F333" s="295"/>
      <c r="G333" s="295"/>
      <c r="H333" s="295"/>
      <c r="I333" s="351"/>
      <c r="J333" s="295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  <c r="AA333" s="295"/>
      <c r="AB333" s="295"/>
      <c r="AC333" s="295"/>
    </row>
    <row r="334">
      <c r="A334" s="295"/>
      <c r="B334" s="350"/>
      <c r="C334" s="350"/>
      <c r="D334" s="295"/>
      <c r="E334" s="295"/>
      <c r="F334" s="295"/>
      <c r="G334" s="295"/>
      <c r="H334" s="295"/>
      <c r="I334" s="351"/>
      <c r="J334" s="295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  <c r="AA334" s="295"/>
      <c r="AB334" s="295"/>
      <c r="AC334" s="295"/>
    </row>
    <row r="335">
      <c r="A335" s="295"/>
      <c r="B335" s="350"/>
      <c r="C335" s="350"/>
      <c r="D335" s="295"/>
      <c r="E335" s="295"/>
      <c r="F335" s="295"/>
      <c r="G335" s="295"/>
      <c r="H335" s="295"/>
      <c r="I335" s="351"/>
      <c r="J335" s="295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  <c r="Y335" s="295"/>
      <c r="Z335" s="295"/>
      <c r="AA335" s="295"/>
      <c r="AB335" s="295"/>
      <c r="AC335" s="295"/>
    </row>
    <row r="336">
      <c r="A336" s="295"/>
      <c r="B336" s="350"/>
      <c r="C336" s="350"/>
      <c r="D336" s="295"/>
      <c r="E336" s="295"/>
      <c r="F336" s="295"/>
      <c r="G336" s="295"/>
      <c r="H336" s="295"/>
      <c r="I336" s="351"/>
      <c r="J336" s="295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  <c r="AA336" s="295"/>
      <c r="AB336" s="295"/>
      <c r="AC336" s="295"/>
    </row>
    <row r="337">
      <c r="A337" s="295"/>
      <c r="B337" s="350"/>
      <c r="C337" s="350"/>
      <c r="D337" s="295"/>
      <c r="E337" s="295"/>
      <c r="F337" s="295"/>
      <c r="G337" s="295"/>
      <c r="H337" s="295"/>
      <c r="I337" s="351"/>
      <c r="J337" s="295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  <c r="Y337" s="295"/>
      <c r="Z337" s="295"/>
      <c r="AA337" s="295"/>
      <c r="AB337" s="295"/>
      <c r="AC337" s="295"/>
    </row>
    <row r="338">
      <c r="A338" s="295"/>
      <c r="B338" s="350"/>
      <c r="C338" s="350"/>
      <c r="D338" s="295"/>
      <c r="E338" s="295"/>
      <c r="F338" s="295"/>
      <c r="G338" s="295"/>
      <c r="H338" s="295"/>
      <c r="I338" s="351"/>
      <c r="J338" s="295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  <c r="Y338" s="295"/>
      <c r="Z338" s="295"/>
      <c r="AA338" s="295"/>
      <c r="AB338" s="295"/>
      <c r="AC338" s="295"/>
    </row>
    <row r="339">
      <c r="A339" s="295"/>
      <c r="B339" s="350"/>
      <c r="C339" s="350"/>
      <c r="D339" s="295"/>
      <c r="E339" s="295"/>
      <c r="F339" s="295"/>
      <c r="G339" s="295"/>
      <c r="H339" s="295"/>
      <c r="I339" s="351"/>
      <c r="J339" s="295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  <c r="AB339" s="295"/>
      <c r="AC339" s="295"/>
    </row>
    <row r="340">
      <c r="A340" s="295"/>
      <c r="B340" s="350"/>
      <c r="C340" s="350"/>
      <c r="D340" s="295"/>
      <c r="E340" s="295"/>
      <c r="F340" s="295"/>
      <c r="G340" s="295"/>
      <c r="H340" s="295"/>
      <c r="I340" s="351"/>
      <c r="J340" s="295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  <c r="Y340" s="295"/>
      <c r="Z340" s="295"/>
      <c r="AA340" s="295"/>
      <c r="AB340" s="295"/>
      <c r="AC340" s="295"/>
    </row>
    <row r="341">
      <c r="A341" s="295"/>
      <c r="B341" s="350"/>
      <c r="C341" s="350"/>
      <c r="D341" s="295"/>
      <c r="E341" s="295"/>
      <c r="F341" s="295"/>
      <c r="G341" s="295"/>
      <c r="H341" s="295"/>
      <c r="I341" s="351"/>
      <c r="J341" s="295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  <c r="AA341" s="295"/>
      <c r="AB341" s="295"/>
      <c r="AC341" s="295"/>
    </row>
    <row r="342">
      <c r="A342" s="295"/>
      <c r="B342" s="350"/>
      <c r="C342" s="350"/>
      <c r="D342" s="295"/>
      <c r="E342" s="295"/>
      <c r="F342" s="295"/>
      <c r="G342" s="295"/>
      <c r="H342" s="295"/>
      <c r="I342" s="351"/>
      <c r="J342" s="295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  <c r="Y342" s="295"/>
      <c r="Z342" s="295"/>
      <c r="AA342" s="295"/>
      <c r="AB342" s="295"/>
      <c r="AC342" s="295"/>
    </row>
    <row r="343">
      <c r="A343" s="295"/>
      <c r="B343" s="350"/>
      <c r="C343" s="350"/>
      <c r="D343" s="295"/>
      <c r="E343" s="295"/>
      <c r="F343" s="295"/>
      <c r="G343" s="295"/>
      <c r="H343" s="295"/>
      <c r="I343" s="351"/>
      <c r="J343" s="295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  <c r="Y343" s="295"/>
      <c r="Z343" s="295"/>
      <c r="AA343" s="295"/>
      <c r="AB343" s="295"/>
      <c r="AC343" s="295"/>
    </row>
    <row r="344">
      <c r="A344" s="295"/>
      <c r="B344" s="350"/>
      <c r="C344" s="350"/>
      <c r="D344" s="295"/>
      <c r="E344" s="295"/>
      <c r="F344" s="295"/>
      <c r="G344" s="295"/>
      <c r="H344" s="295"/>
      <c r="I344" s="351"/>
      <c r="J344" s="295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  <c r="Y344" s="295"/>
      <c r="Z344" s="295"/>
      <c r="AA344" s="295"/>
      <c r="AB344" s="295"/>
      <c r="AC344" s="295"/>
    </row>
    <row r="345">
      <c r="A345" s="295"/>
      <c r="B345" s="350"/>
      <c r="C345" s="350"/>
      <c r="D345" s="295"/>
      <c r="E345" s="295"/>
      <c r="F345" s="295"/>
      <c r="G345" s="295"/>
      <c r="H345" s="295"/>
      <c r="I345" s="351"/>
      <c r="J345" s="295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  <c r="AA345" s="295"/>
      <c r="AB345" s="295"/>
      <c r="AC345" s="295"/>
    </row>
    <row r="346">
      <c r="A346" s="295"/>
      <c r="B346" s="350"/>
      <c r="C346" s="350"/>
      <c r="D346" s="295"/>
      <c r="E346" s="295"/>
      <c r="F346" s="295"/>
      <c r="G346" s="295"/>
      <c r="H346" s="295"/>
      <c r="I346" s="351"/>
      <c r="J346" s="295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  <c r="Y346" s="295"/>
      <c r="Z346" s="295"/>
      <c r="AA346" s="295"/>
      <c r="AB346" s="295"/>
      <c r="AC346" s="295"/>
    </row>
    <row r="347">
      <c r="A347" s="295"/>
      <c r="B347" s="350"/>
      <c r="C347" s="350"/>
      <c r="D347" s="295"/>
      <c r="E347" s="295"/>
      <c r="F347" s="295"/>
      <c r="G347" s="295"/>
      <c r="H347" s="295"/>
      <c r="I347" s="351"/>
      <c r="J347" s="295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  <c r="AA347" s="295"/>
      <c r="AB347" s="295"/>
      <c r="AC347" s="295"/>
    </row>
    <row r="348">
      <c r="A348" s="295"/>
      <c r="B348" s="350"/>
      <c r="C348" s="350"/>
      <c r="D348" s="295"/>
      <c r="E348" s="295"/>
      <c r="F348" s="295"/>
      <c r="G348" s="295"/>
      <c r="H348" s="295"/>
      <c r="I348" s="351"/>
      <c r="J348" s="295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295"/>
      <c r="AA348" s="295"/>
      <c r="AB348" s="295"/>
      <c r="AC348" s="295"/>
    </row>
    <row r="349">
      <c r="A349" s="295"/>
      <c r="B349" s="350"/>
      <c r="C349" s="350"/>
      <c r="D349" s="295"/>
      <c r="E349" s="295"/>
      <c r="F349" s="295"/>
      <c r="G349" s="295"/>
      <c r="H349" s="295"/>
      <c r="I349" s="351"/>
      <c r="J349" s="295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295"/>
      <c r="AA349" s="295"/>
      <c r="AB349" s="295"/>
      <c r="AC349" s="295"/>
    </row>
    <row r="350">
      <c r="A350" s="295"/>
      <c r="B350" s="350"/>
      <c r="C350" s="350"/>
      <c r="D350" s="295"/>
      <c r="E350" s="295"/>
      <c r="F350" s="295"/>
      <c r="G350" s="295"/>
      <c r="H350" s="295"/>
      <c r="I350" s="351"/>
      <c r="J350" s="295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295"/>
      <c r="AA350" s="295"/>
      <c r="AB350" s="295"/>
      <c r="AC350" s="295"/>
    </row>
    <row r="351">
      <c r="A351" s="295"/>
      <c r="B351" s="350"/>
      <c r="C351" s="350"/>
      <c r="D351" s="295"/>
      <c r="E351" s="295"/>
      <c r="F351" s="295"/>
      <c r="G351" s="295"/>
      <c r="H351" s="295"/>
      <c r="I351" s="351"/>
      <c r="J351" s="295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295"/>
      <c r="AA351" s="295"/>
      <c r="AB351" s="295"/>
      <c r="AC351" s="295"/>
    </row>
    <row r="352">
      <c r="A352" s="295"/>
      <c r="B352" s="350"/>
      <c r="C352" s="350"/>
      <c r="D352" s="295"/>
      <c r="E352" s="295"/>
      <c r="F352" s="295"/>
      <c r="G352" s="295"/>
      <c r="H352" s="295"/>
      <c r="I352" s="351"/>
      <c r="J352" s="295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295"/>
      <c r="AA352" s="295"/>
      <c r="AB352" s="295"/>
      <c r="AC352" s="295"/>
    </row>
    <row r="353">
      <c r="A353" s="295"/>
      <c r="B353" s="350"/>
      <c r="C353" s="350"/>
      <c r="D353" s="295"/>
      <c r="E353" s="295"/>
      <c r="F353" s="295"/>
      <c r="G353" s="295"/>
      <c r="H353" s="295"/>
      <c r="I353" s="351"/>
      <c r="J353" s="295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295"/>
      <c r="AA353" s="295"/>
      <c r="AB353" s="295"/>
      <c r="AC353" s="295"/>
    </row>
    <row r="354">
      <c r="A354" s="295"/>
      <c r="B354" s="350"/>
      <c r="C354" s="350"/>
      <c r="D354" s="295"/>
      <c r="E354" s="295"/>
      <c r="F354" s="295"/>
      <c r="G354" s="295"/>
      <c r="H354" s="295"/>
      <c r="I354" s="351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295"/>
      <c r="AA354" s="295"/>
      <c r="AB354" s="295"/>
      <c r="AC354" s="295"/>
    </row>
    <row r="355">
      <c r="A355" s="295"/>
      <c r="B355" s="350"/>
      <c r="C355" s="350"/>
      <c r="D355" s="295"/>
      <c r="E355" s="295"/>
      <c r="F355" s="295"/>
      <c r="G355" s="295"/>
      <c r="H355" s="295"/>
      <c r="I355" s="351"/>
      <c r="J355" s="295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295"/>
      <c r="AA355" s="295"/>
      <c r="AB355" s="295"/>
      <c r="AC355" s="295"/>
    </row>
    <row r="356">
      <c r="A356" s="295"/>
      <c r="B356" s="350"/>
      <c r="C356" s="350"/>
      <c r="D356" s="295"/>
      <c r="E356" s="295"/>
      <c r="F356" s="295"/>
      <c r="G356" s="295"/>
      <c r="H356" s="295"/>
      <c r="I356" s="351"/>
      <c r="J356" s="295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295"/>
      <c r="AA356" s="295"/>
      <c r="AB356" s="295"/>
      <c r="AC356" s="295"/>
    </row>
    <row r="357">
      <c r="A357" s="295"/>
      <c r="B357" s="350"/>
      <c r="C357" s="350"/>
      <c r="D357" s="295"/>
      <c r="E357" s="295"/>
      <c r="F357" s="295"/>
      <c r="G357" s="295"/>
      <c r="H357" s="295"/>
      <c r="I357" s="351"/>
      <c r="J357" s="295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95"/>
      <c r="Y357" s="295"/>
      <c r="Z357" s="295"/>
      <c r="AA357" s="295"/>
      <c r="AB357" s="295"/>
      <c r="AC357" s="295"/>
    </row>
    <row r="358">
      <c r="A358" s="295"/>
      <c r="B358" s="350"/>
      <c r="C358" s="350"/>
      <c r="D358" s="295"/>
      <c r="E358" s="295"/>
      <c r="F358" s="295"/>
      <c r="G358" s="295"/>
      <c r="H358" s="295"/>
      <c r="I358" s="351"/>
      <c r="J358" s="295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  <c r="Y358" s="295"/>
      <c r="Z358" s="295"/>
      <c r="AA358" s="295"/>
      <c r="AB358" s="295"/>
      <c r="AC358" s="295"/>
    </row>
    <row r="359">
      <c r="A359" s="295"/>
      <c r="B359" s="350"/>
      <c r="C359" s="350"/>
      <c r="D359" s="295"/>
      <c r="E359" s="295"/>
      <c r="F359" s="295"/>
      <c r="G359" s="295"/>
      <c r="H359" s="295"/>
      <c r="I359" s="351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  <c r="AB359" s="295"/>
      <c r="AC359" s="295"/>
    </row>
    <row r="360">
      <c r="A360" s="295"/>
      <c r="B360" s="350"/>
      <c r="C360" s="350"/>
      <c r="D360" s="295"/>
      <c r="E360" s="295"/>
      <c r="F360" s="295"/>
      <c r="G360" s="295"/>
      <c r="H360" s="295"/>
      <c r="I360" s="351"/>
      <c r="J360" s="295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295"/>
      <c r="AA360" s="295"/>
      <c r="AB360" s="295"/>
      <c r="AC360" s="295"/>
    </row>
    <row r="361">
      <c r="A361" s="295"/>
      <c r="B361" s="350"/>
      <c r="C361" s="350"/>
      <c r="D361" s="295"/>
      <c r="E361" s="295"/>
      <c r="F361" s="295"/>
      <c r="G361" s="295"/>
      <c r="H361" s="295"/>
      <c r="I361" s="351"/>
      <c r="J361" s="295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295"/>
      <c r="AA361" s="295"/>
      <c r="AB361" s="295"/>
      <c r="AC361" s="295"/>
    </row>
    <row r="362">
      <c r="A362" s="295"/>
      <c r="B362" s="350"/>
      <c r="C362" s="350"/>
      <c r="D362" s="295"/>
      <c r="E362" s="295"/>
      <c r="F362" s="295"/>
      <c r="G362" s="295"/>
      <c r="H362" s="295"/>
      <c r="I362" s="351"/>
      <c r="J362" s="295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295"/>
      <c r="AA362" s="295"/>
      <c r="AB362" s="295"/>
      <c r="AC362" s="295"/>
    </row>
    <row r="363">
      <c r="A363" s="295"/>
      <c r="B363" s="350"/>
      <c r="C363" s="350"/>
      <c r="D363" s="295"/>
      <c r="E363" s="295"/>
      <c r="F363" s="295"/>
      <c r="G363" s="295"/>
      <c r="H363" s="295"/>
      <c r="I363" s="351"/>
      <c r="J363" s="295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295"/>
      <c r="AA363" s="295"/>
      <c r="AB363" s="295"/>
      <c r="AC363" s="295"/>
    </row>
    <row r="364">
      <c r="A364" s="295"/>
      <c r="B364" s="350"/>
      <c r="C364" s="350"/>
      <c r="D364" s="295"/>
      <c r="E364" s="295"/>
      <c r="F364" s="295"/>
      <c r="G364" s="295"/>
      <c r="H364" s="295"/>
      <c r="I364" s="351"/>
      <c r="J364" s="295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  <c r="AA364" s="295"/>
      <c r="AB364" s="295"/>
      <c r="AC364" s="295"/>
    </row>
    <row r="365">
      <c r="A365" s="295"/>
      <c r="B365" s="350"/>
      <c r="C365" s="350"/>
      <c r="D365" s="295"/>
      <c r="E365" s="295"/>
      <c r="F365" s="295"/>
      <c r="G365" s="295"/>
      <c r="H365" s="295"/>
      <c r="I365" s="351"/>
      <c r="J365" s="295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295"/>
      <c r="AA365" s="295"/>
      <c r="AB365" s="295"/>
      <c r="AC365" s="295"/>
    </row>
    <row r="366">
      <c r="A366" s="295"/>
      <c r="B366" s="350"/>
      <c r="C366" s="350"/>
      <c r="D366" s="295"/>
      <c r="E366" s="295"/>
      <c r="F366" s="295"/>
      <c r="G366" s="295"/>
      <c r="H366" s="295"/>
      <c r="I366" s="351"/>
      <c r="J366" s="295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295"/>
      <c r="AA366" s="295"/>
      <c r="AB366" s="295"/>
      <c r="AC366" s="295"/>
    </row>
    <row r="367">
      <c r="A367" s="295"/>
      <c r="B367" s="350"/>
      <c r="C367" s="350"/>
      <c r="D367" s="295"/>
      <c r="E367" s="295"/>
      <c r="F367" s="295"/>
      <c r="G367" s="295"/>
      <c r="H367" s="295"/>
      <c r="I367" s="351"/>
      <c r="J367" s="295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295"/>
      <c r="AA367" s="295"/>
      <c r="AB367" s="295"/>
      <c r="AC367" s="295"/>
    </row>
    <row r="368">
      <c r="A368" s="295"/>
      <c r="B368" s="350"/>
      <c r="C368" s="350"/>
      <c r="D368" s="295"/>
      <c r="E368" s="295"/>
      <c r="F368" s="295"/>
      <c r="G368" s="295"/>
      <c r="H368" s="295"/>
      <c r="I368" s="351"/>
      <c r="J368" s="295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  <c r="Y368" s="295"/>
      <c r="Z368" s="295"/>
      <c r="AA368" s="295"/>
      <c r="AB368" s="295"/>
      <c r="AC368" s="295"/>
    </row>
    <row r="369">
      <c r="A369" s="295"/>
      <c r="B369" s="350"/>
      <c r="C369" s="350"/>
      <c r="D369" s="295"/>
      <c r="E369" s="295"/>
      <c r="F369" s="295"/>
      <c r="G369" s="295"/>
      <c r="H369" s="295"/>
      <c r="I369" s="351"/>
      <c r="J369" s="295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  <c r="Y369" s="295"/>
      <c r="Z369" s="295"/>
      <c r="AA369" s="295"/>
      <c r="AB369" s="295"/>
      <c r="AC369" s="295"/>
    </row>
    <row r="370">
      <c r="A370" s="295"/>
      <c r="B370" s="350"/>
      <c r="C370" s="350"/>
      <c r="D370" s="295"/>
      <c r="E370" s="295"/>
      <c r="F370" s="295"/>
      <c r="G370" s="295"/>
      <c r="H370" s="295"/>
      <c r="I370" s="351"/>
      <c r="J370" s="295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295"/>
      <c r="AA370" s="295"/>
      <c r="AB370" s="295"/>
      <c r="AC370" s="295"/>
    </row>
    <row r="371">
      <c r="A371" s="295"/>
      <c r="B371" s="350"/>
      <c r="C371" s="350"/>
      <c r="D371" s="295"/>
      <c r="E371" s="295"/>
      <c r="F371" s="295"/>
      <c r="G371" s="295"/>
      <c r="H371" s="295"/>
      <c r="I371" s="351"/>
      <c r="J371" s="295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295"/>
      <c r="AA371" s="295"/>
      <c r="AB371" s="295"/>
      <c r="AC371" s="295"/>
    </row>
    <row r="372">
      <c r="A372" s="295"/>
      <c r="B372" s="350"/>
      <c r="C372" s="350"/>
      <c r="D372" s="295"/>
      <c r="E372" s="295"/>
      <c r="F372" s="295"/>
      <c r="G372" s="295"/>
      <c r="H372" s="295"/>
      <c r="I372" s="351"/>
      <c r="J372" s="295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295"/>
      <c r="AA372" s="295"/>
      <c r="AB372" s="295"/>
      <c r="AC372" s="295"/>
    </row>
    <row r="373">
      <c r="A373" s="295"/>
      <c r="B373" s="350"/>
      <c r="C373" s="350"/>
      <c r="D373" s="295"/>
      <c r="E373" s="295"/>
      <c r="F373" s="295"/>
      <c r="G373" s="295"/>
      <c r="H373" s="295"/>
      <c r="I373" s="351"/>
      <c r="J373" s="295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295"/>
      <c r="AA373" s="295"/>
      <c r="AB373" s="295"/>
      <c r="AC373" s="295"/>
    </row>
    <row r="374">
      <c r="A374" s="295"/>
      <c r="B374" s="350"/>
      <c r="C374" s="350"/>
      <c r="D374" s="295"/>
      <c r="E374" s="295"/>
      <c r="F374" s="295"/>
      <c r="G374" s="295"/>
      <c r="H374" s="295"/>
      <c r="I374" s="351"/>
      <c r="J374" s="295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295"/>
      <c r="AA374" s="295"/>
      <c r="AB374" s="295"/>
      <c r="AC374" s="295"/>
    </row>
    <row r="375">
      <c r="A375" s="295"/>
      <c r="B375" s="350"/>
      <c r="C375" s="350"/>
      <c r="D375" s="295"/>
      <c r="E375" s="295"/>
      <c r="F375" s="295"/>
      <c r="G375" s="295"/>
      <c r="H375" s="295"/>
      <c r="I375" s="351"/>
      <c r="J375" s="295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295"/>
      <c r="AA375" s="295"/>
      <c r="AB375" s="295"/>
      <c r="AC375" s="295"/>
    </row>
    <row r="376">
      <c r="A376" s="295"/>
      <c r="B376" s="350"/>
      <c r="C376" s="350"/>
      <c r="D376" s="295"/>
      <c r="E376" s="295"/>
      <c r="F376" s="295"/>
      <c r="G376" s="295"/>
      <c r="H376" s="295"/>
      <c r="I376" s="351"/>
      <c r="J376" s="295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295"/>
      <c r="AA376" s="295"/>
      <c r="AB376" s="295"/>
      <c r="AC376" s="295"/>
    </row>
    <row r="377">
      <c r="A377" s="295"/>
      <c r="B377" s="350"/>
      <c r="C377" s="350"/>
      <c r="D377" s="295"/>
      <c r="E377" s="295"/>
      <c r="F377" s="295"/>
      <c r="G377" s="295"/>
      <c r="H377" s="295"/>
      <c r="I377" s="351"/>
      <c r="J377" s="295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  <c r="AA377" s="295"/>
      <c r="AB377" s="295"/>
      <c r="AC377" s="295"/>
    </row>
    <row r="378">
      <c r="A378" s="295"/>
      <c r="B378" s="350"/>
      <c r="C378" s="350"/>
      <c r="D378" s="295"/>
      <c r="E378" s="295"/>
      <c r="F378" s="295"/>
      <c r="G378" s="295"/>
      <c r="H378" s="295"/>
      <c r="I378" s="351"/>
      <c r="J378" s="295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295"/>
      <c r="AA378" s="295"/>
      <c r="AB378" s="295"/>
      <c r="AC378" s="295"/>
    </row>
    <row r="379">
      <c r="A379" s="295"/>
      <c r="B379" s="350"/>
      <c r="C379" s="350"/>
      <c r="D379" s="295"/>
      <c r="E379" s="295"/>
      <c r="F379" s="295"/>
      <c r="G379" s="295"/>
      <c r="H379" s="295"/>
      <c r="I379" s="351"/>
      <c r="J379" s="295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295"/>
      <c r="AA379" s="295"/>
      <c r="AB379" s="295"/>
      <c r="AC379" s="295"/>
    </row>
    <row r="380">
      <c r="A380" s="295"/>
      <c r="B380" s="350"/>
      <c r="C380" s="350"/>
      <c r="D380" s="295"/>
      <c r="E380" s="295"/>
      <c r="F380" s="295"/>
      <c r="G380" s="295"/>
      <c r="H380" s="295"/>
      <c r="I380" s="351"/>
      <c r="J380" s="295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  <c r="Y380" s="295"/>
      <c r="Z380" s="295"/>
      <c r="AA380" s="295"/>
      <c r="AB380" s="295"/>
      <c r="AC380" s="295"/>
    </row>
    <row r="381">
      <c r="A381" s="295"/>
      <c r="B381" s="350"/>
      <c r="C381" s="350"/>
      <c r="D381" s="295"/>
      <c r="E381" s="295"/>
      <c r="F381" s="295"/>
      <c r="G381" s="295"/>
      <c r="H381" s="295"/>
      <c r="I381" s="351"/>
      <c r="J381" s="295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  <c r="Y381" s="295"/>
      <c r="Z381" s="295"/>
      <c r="AA381" s="295"/>
      <c r="AB381" s="295"/>
      <c r="AC381" s="295"/>
    </row>
    <row r="382">
      <c r="A382" s="295"/>
      <c r="B382" s="350"/>
      <c r="C382" s="350"/>
      <c r="D382" s="295"/>
      <c r="E382" s="295"/>
      <c r="F382" s="295"/>
      <c r="G382" s="295"/>
      <c r="H382" s="295"/>
      <c r="I382" s="351"/>
      <c r="J382" s="295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295"/>
      <c r="AA382" s="295"/>
      <c r="AB382" s="295"/>
      <c r="AC382" s="295"/>
    </row>
    <row r="383">
      <c r="A383" s="295"/>
      <c r="B383" s="350"/>
      <c r="C383" s="350"/>
      <c r="D383" s="295"/>
      <c r="E383" s="295"/>
      <c r="F383" s="295"/>
      <c r="G383" s="295"/>
      <c r="H383" s="295"/>
      <c r="I383" s="351"/>
      <c r="J383" s="295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  <c r="AA383" s="295"/>
      <c r="AB383" s="295"/>
      <c r="AC383" s="295"/>
    </row>
    <row r="384">
      <c r="A384" s="295"/>
      <c r="B384" s="350"/>
      <c r="C384" s="350"/>
      <c r="D384" s="295"/>
      <c r="E384" s="295"/>
      <c r="F384" s="295"/>
      <c r="G384" s="295"/>
      <c r="H384" s="295"/>
      <c r="I384" s="351"/>
      <c r="J384" s="295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295"/>
      <c r="AA384" s="295"/>
      <c r="AB384" s="295"/>
      <c r="AC384" s="295"/>
    </row>
    <row r="385">
      <c r="A385" s="295"/>
      <c r="B385" s="350"/>
      <c r="C385" s="350"/>
      <c r="D385" s="295"/>
      <c r="E385" s="295"/>
      <c r="F385" s="295"/>
      <c r="G385" s="295"/>
      <c r="H385" s="295"/>
      <c r="I385" s="351"/>
      <c r="J385" s="295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295"/>
      <c r="AA385" s="295"/>
      <c r="AB385" s="295"/>
      <c r="AC385" s="295"/>
    </row>
    <row r="386">
      <c r="A386" s="295"/>
      <c r="B386" s="350"/>
      <c r="C386" s="350"/>
      <c r="D386" s="295"/>
      <c r="E386" s="295"/>
      <c r="F386" s="295"/>
      <c r="G386" s="295"/>
      <c r="H386" s="295"/>
      <c r="I386" s="351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295"/>
      <c r="AA386" s="295"/>
      <c r="AB386" s="295"/>
      <c r="AC386" s="295"/>
    </row>
    <row r="387">
      <c r="A387" s="295"/>
      <c r="B387" s="350"/>
      <c r="C387" s="350"/>
      <c r="D387" s="295"/>
      <c r="E387" s="295"/>
      <c r="F387" s="295"/>
      <c r="G387" s="295"/>
      <c r="H387" s="295"/>
      <c r="I387" s="351"/>
      <c r="J387" s="295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295"/>
      <c r="AA387" s="295"/>
      <c r="AB387" s="295"/>
      <c r="AC387" s="295"/>
    </row>
    <row r="388">
      <c r="A388" s="295"/>
      <c r="B388" s="350"/>
      <c r="C388" s="350"/>
      <c r="D388" s="295"/>
      <c r="E388" s="295"/>
      <c r="F388" s="295"/>
      <c r="G388" s="295"/>
      <c r="H388" s="295"/>
      <c r="I388" s="351"/>
      <c r="J388" s="295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295"/>
      <c r="AA388" s="295"/>
      <c r="AB388" s="295"/>
      <c r="AC388" s="295"/>
    </row>
    <row r="389">
      <c r="A389" s="295"/>
      <c r="B389" s="350"/>
      <c r="C389" s="350"/>
      <c r="D389" s="295"/>
      <c r="E389" s="295"/>
      <c r="F389" s="295"/>
      <c r="G389" s="295"/>
      <c r="H389" s="295"/>
      <c r="I389" s="351"/>
      <c r="J389" s="295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295"/>
      <c r="AA389" s="295"/>
      <c r="AB389" s="295"/>
      <c r="AC389" s="295"/>
    </row>
    <row r="390">
      <c r="A390" s="295"/>
      <c r="B390" s="350"/>
      <c r="C390" s="350"/>
      <c r="D390" s="295"/>
      <c r="E390" s="295"/>
      <c r="F390" s="295"/>
      <c r="G390" s="295"/>
      <c r="H390" s="295"/>
      <c r="I390" s="351"/>
      <c r="J390" s="295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  <c r="Y390" s="295"/>
      <c r="Z390" s="295"/>
      <c r="AA390" s="295"/>
      <c r="AB390" s="295"/>
      <c r="AC390" s="295"/>
    </row>
    <row r="391">
      <c r="A391" s="295"/>
      <c r="B391" s="350"/>
      <c r="C391" s="350"/>
      <c r="D391" s="295"/>
      <c r="E391" s="295"/>
      <c r="F391" s="295"/>
      <c r="G391" s="295"/>
      <c r="H391" s="295"/>
      <c r="I391" s="351"/>
      <c r="J391" s="295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  <c r="Y391" s="295"/>
      <c r="Z391" s="295"/>
      <c r="AA391" s="295"/>
      <c r="AB391" s="295"/>
      <c r="AC391" s="295"/>
    </row>
    <row r="392">
      <c r="A392" s="295"/>
      <c r="B392" s="350"/>
      <c r="C392" s="350"/>
      <c r="D392" s="295"/>
      <c r="E392" s="295"/>
      <c r="F392" s="295"/>
      <c r="G392" s="295"/>
      <c r="H392" s="295"/>
      <c r="I392" s="351"/>
      <c r="J392" s="295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295"/>
      <c r="AA392" s="295"/>
      <c r="AB392" s="295"/>
      <c r="AC392" s="295"/>
    </row>
    <row r="393">
      <c r="A393" s="295"/>
      <c r="B393" s="350"/>
      <c r="C393" s="350"/>
      <c r="D393" s="295"/>
      <c r="E393" s="295"/>
      <c r="F393" s="295"/>
      <c r="G393" s="295"/>
      <c r="H393" s="295"/>
      <c r="I393" s="351"/>
      <c r="J393" s="295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295"/>
      <c r="AA393" s="295"/>
      <c r="AB393" s="295"/>
      <c r="AC393" s="295"/>
    </row>
    <row r="394">
      <c r="A394" s="295"/>
      <c r="B394" s="350"/>
      <c r="C394" s="350"/>
      <c r="D394" s="295"/>
      <c r="E394" s="295"/>
      <c r="F394" s="295"/>
      <c r="G394" s="295"/>
      <c r="H394" s="295"/>
      <c r="I394" s="351"/>
      <c r="J394" s="295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295"/>
      <c r="AA394" s="295"/>
      <c r="AB394" s="295"/>
      <c r="AC394" s="295"/>
    </row>
    <row r="395">
      <c r="A395" s="295"/>
      <c r="B395" s="350"/>
      <c r="C395" s="350"/>
      <c r="D395" s="295"/>
      <c r="E395" s="295"/>
      <c r="F395" s="295"/>
      <c r="G395" s="295"/>
      <c r="H395" s="295"/>
      <c r="I395" s="351"/>
      <c r="J395" s="295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  <c r="AA395" s="295"/>
      <c r="AB395" s="295"/>
      <c r="AC395" s="295"/>
    </row>
    <row r="396">
      <c r="A396" s="295"/>
      <c r="B396" s="350"/>
      <c r="C396" s="350"/>
      <c r="D396" s="295"/>
      <c r="E396" s="295"/>
      <c r="F396" s="295"/>
      <c r="G396" s="295"/>
      <c r="H396" s="295"/>
      <c r="I396" s="351"/>
      <c r="J396" s="295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295"/>
      <c r="AA396" s="295"/>
      <c r="AB396" s="295"/>
      <c r="AC396" s="295"/>
    </row>
    <row r="397">
      <c r="A397" s="295"/>
      <c r="B397" s="350"/>
      <c r="C397" s="350"/>
      <c r="D397" s="295"/>
      <c r="E397" s="295"/>
      <c r="F397" s="295"/>
      <c r="G397" s="295"/>
      <c r="H397" s="295"/>
      <c r="I397" s="351"/>
      <c r="J397" s="295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295"/>
      <c r="AA397" s="295"/>
      <c r="AB397" s="295"/>
      <c r="AC397" s="295"/>
    </row>
    <row r="398">
      <c r="A398" s="295"/>
      <c r="B398" s="350"/>
      <c r="C398" s="350"/>
      <c r="D398" s="295"/>
      <c r="E398" s="295"/>
      <c r="F398" s="295"/>
      <c r="G398" s="295"/>
      <c r="H398" s="295"/>
      <c r="I398" s="351"/>
      <c r="J398" s="295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295"/>
      <c r="AA398" s="295"/>
      <c r="AB398" s="295"/>
      <c r="AC398" s="295"/>
    </row>
    <row r="399">
      <c r="A399" s="295"/>
      <c r="B399" s="350"/>
      <c r="C399" s="350"/>
      <c r="D399" s="295"/>
      <c r="E399" s="295"/>
      <c r="F399" s="295"/>
      <c r="G399" s="295"/>
      <c r="H399" s="295"/>
      <c r="I399" s="351"/>
      <c r="J399" s="295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295"/>
      <c r="AA399" s="295"/>
      <c r="AB399" s="295"/>
      <c r="AC399" s="295"/>
    </row>
    <row r="400">
      <c r="A400" s="295"/>
      <c r="B400" s="350"/>
      <c r="C400" s="350"/>
      <c r="D400" s="295"/>
      <c r="E400" s="295"/>
      <c r="F400" s="295"/>
      <c r="G400" s="295"/>
      <c r="H400" s="295"/>
      <c r="I400" s="351"/>
      <c r="J400" s="295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  <c r="AA400" s="295"/>
      <c r="AB400" s="295"/>
      <c r="AC400" s="295"/>
    </row>
    <row r="401">
      <c r="A401" s="295"/>
      <c r="B401" s="350"/>
      <c r="C401" s="350"/>
      <c r="D401" s="295"/>
      <c r="E401" s="295"/>
      <c r="F401" s="295"/>
      <c r="G401" s="295"/>
      <c r="H401" s="295"/>
      <c r="I401" s="351"/>
      <c r="J401" s="295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  <c r="AA401" s="295"/>
      <c r="AB401" s="295"/>
      <c r="AC401" s="295"/>
    </row>
    <row r="402">
      <c r="A402" s="295"/>
      <c r="B402" s="350"/>
      <c r="C402" s="350"/>
      <c r="D402" s="295"/>
      <c r="E402" s="295"/>
      <c r="F402" s="295"/>
      <c r="G402" s="295"/>
      <c r="H402" s="295"/>
      <c r="I402" s="351"/>
      <c r="J402" s="295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  <c r="AB402" s="295"/>
      <c r="AC402" s="295"/>
    </row>
    <row r="403">
      <c r="A403" s="295"/>
      <c r="B403" s="350"/>
      <c r="C403" s="350"/>
      <c r="D403" s="295"/>
      <c r="E403" s="295"/>
      <c r="F403" s="295"/>
      <c r="G403" s="295"/>
      <c r="H403" s="295"/>
      <c r="I403" s="351"/>
      <c r="J403" s="295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  <c r="AA403" s="295"/>
      <c r="AB403" s="295"/>
      <c r="AC403" s="295"/>
    </row>
    <row r="404">
      <c r="A404" s="295"/>
      <c r="B404" s="350"/>
      <c r="C404" s="350"/>
      <c r="D404" s="295"/>
      <c r="E404" s="295"/>
      <c r="F404" s="295"/>
      <c r="G404" s="295"/>
      <c r="H404" s="295"/>
      <c r="I404" s="351"/>
      <c r="J404" s="295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295"/>
      <c r="AA404" s="295"/>
      <c r="AB404" s="295"/>
      <c r="AC404" s="295"/>
    </row>
    <row r="405">
      <c r="A405" s="295"/>
      <c r="B405" s="350"/>
      <c r="C405" s="350"/>
      <c r="D405" s="295"/>
      <c r="E405" s="295"/>
      <c r="F405" s="295"/>
      <c r="G405" s="295"/>
      <c r="H405" s="295"/>
      <c r="I405" s="351"/>
      <c r="J405" s="295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295"/>
      <c r="AA405" s="295"/>
      <c r="AB405" s="295"/>
      <c r="AC405" s="295"/>
    </row>
    <row r="406">
      <c r="A406" s="295"/>
      <c r="B406" s="350"/>
      <c r="C406" s="350"/>
      <c r="D406" s="295"/>
      <c r="E406" s="295"/>
      <c r="F406" s="295"/>
      <c r="G406" s="295"/>
      <c r="H406" s="295"/>
      <c r="I406" s="351"/>
      <c r="J406" s="295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295"/>
      <c r="AA406" s="295"/>
      <c r="AB406" s="295"/>
      <c r="AC406" s="295"/>
    </row>
    <row r="407">
      <c r="A407" s="295"/>
      <c r="B407" s="350"/>
      <c r="C407" s="350"/>
      <c r="D407" s="295"/>
      <c r="E407" s="295"/>
      <c r="F407" s="295"/>
      <c r="G407" s="295"/>
      <c r="H407" s="295"/>
      <c r="I407" s="351"/>
      <c r="J407" s="295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295"/>
      <c r="AA407" s="295"/>
      <c r="AB407" s="295"/>
      <c r="AC407" s="295"/>
    </row>
    <row r="408">
      <c r="A408" s="295"/>
      <c r="B408" s="350"/>
      <c r="C408" s="350"/>
      <c r="D408" s="295"/>
      <c r="E408" s="295"/>
      <c r="F408" s="295"/>
      <c r="G408" s="295"/>
      <c r="H408" s="295"/>
      <c r="I408" s="351"/>
      <c r="J408" s="295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295"/>
      <c r="AA408" s="295"/>
      <c r="AB408" s="295"/>
      <c r="AC408" s="295"/>
    </row>
    <row r="409">
      <c r="A409" s="295"/>
      <c r="B409" s="350"/>
      <c r="C409" s="350"/>
      <c r="D409" s="295"/>
      <c r="E409" s="295"/>
      <c r="F409" s="295"/>
      <c r="G409" s="295"/>
      <c r="H409" s="295"/>
      <c r="I409" s="351"/>
      <c r="J409" s="295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295"/>
      <c r="AA409" s="295"/>
      <c r="AB409" s="295"/>
      <c r="AC409" s="295"/>
    </row>
    <row r="410">
      <c r="A410" s="295"/>
      <c r="B410" s="350"/>
      <c r="C410" s="350"/>
      <c r="D410" s="295"/>
      <c r="E410" s="295"/>
      <c r="F410" s="295"/>
      <c r="G410" s="295"/>
      <c r="H410" s="295"/>
      <c r="I410" s="351"/>
      <c r="J410" s="295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295"/>
      <c r="AA410" s="295"/>
      <c r="AB410" s="295"/>
      <c r="AC410" s="295"/>
    </row>
    <row r="411">
      <c r="A411" s="295"/>
      <c r="B411" s="350"/>
      <c r="C411" s="350"/>
      <c r="D411" s="295"/>
      <c r="E411" s="295"/>
      <c r="F411" s="295"/>
      <c r="G411" s="295"/>
      <c r="H411" s="295"/>
      <c r="I411" s="351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295"/>
      <c r="AC411" s="295"/>
    </row>
    <row r="412">
      <c r="A412" s="295"/>
      <c r="B412" s="350"/>
      <c r="C412" s="350"/>
      <c r="D412" s="295"/>
      <c r="E412" s="295"/>
      <c r="F412" s="295"/>
      <c r="G412" s="295"/>
      <c r="H412" s="295"/>
      <c r="I412" s="351"/>
      <c r="J412" s="295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295"/>
      <c r="AA412" s="295"/>
      <c r="AB412" s="295"/>
      <c r="AC412" s="295"/>
    </row>
    <row r="413">
      <c r="A413" s="295"/>
      <c r="B413" s="350"/>
      <c r="C413" s="350"/>
      <c r="D413" s="295"/>
      <c r="E413" s="295"/>
      <c r="F413" s="295"/>
      <c r="G413" s="295"/>
      <c r="H413" s="295"/>
      <c r="I413" s="351"/>
      <c r="J413" s="295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295"/>
      <c r="AA413" s="295"/>
      <c r="AB413" s="295"/>
      <c r="AC413" s="295"/>
    </row>
    <row r="414">
      <c r="A414" s="295"/>
      <c r="B414" s="350"/>
      <c r="C414" s="350"/>
      <c r="D414" s="295"/>
      <c r="E414" s="295"/>
      <c r="F414" s="295"/>
      <c r="G414" s="295"/>
      <c r="H414" s="295"/>
      <c r="I414" s="351"/>
      <c r="J414" s="295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295"/>
      <c r="AA414" s="295"/>
      <c r="AB414" s="295"/>
      <c r="AC414" s="295"/>
    </row>
    <row r="415">
      <c r="A415" s="295"/>
      <c r="B415" s="350"/>
      <c r="C415" s="350"/>
      <c r="D415" s="295"/>
      <c r="E415" s="295"/>
      <c r="F415" s="295"/>
      <c r="G415" s="295"/>
      <c r="H415" s="295"/>
      <c r="I415" s="351"/>
      <c r="J415" s="295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  <c r="Y415" s="295"/>
      <c r="Z415" s="295"/>
      <c r="AA415" s="295"/>
      <c r="AB415" s="295"/>
      <c r="AC415" s="295"/>
    </row>
    <row r="416">
      <c r="A416" s="295"/>
      <c r="B416" s="350"/>
      <c r="C416" s="350"/>
      <c r="D416" s="295"/>
      <c r="E416" s="295"/>
      <c r="F416" s="295"/>
      <c r="G416" s="295"/>
      <c r="H416" s="295"/>
      <c r="I416" s="351"/>
      <c r="J416" s="295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  <c r="Y416" s="295"/>
      <c r="Z416" s="295"/>
      <c r="AA416" s="295"/>
      <c r="AB416" s="295"/>
      <c r="AC416" s="295"/>
    </row>
    <row r="417">
      <c r="A417" s="295"/>
      <c r="B417" s="350"/>
      <c r="C417" s="350"/>
      <c r="D417" s="295"/>
      <c r="E417" s="295"/>
      <c r="F417" s="295"/>
      <c r="G417" s="295"/>
      <c r="H417" s="295"/>
      <c r="I417" s="351"/>
      <c r="J417" s="295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  <c r="Y417" s="295"/>
      <c r="Z417" s="295"/>
      <c r="AA417" s="295"/>
      <c r="AB417" s="295"/>
      <c r="AC417" s="295"/>
    </row>
    <row r="418">
      <c r="A418" s="295"/>
      <c r="B418" s="350"/>
      <c r="C418" s="350"/>
      <c r="D418" s="295"/>
      <c r="E418" s="295"/>
      <c r="F418" s="295"/>
      <c r="G418" s="295"/>
      <c r="H418" s="295"/>
      <c r="I418" s="351"/>
      <c r="J418" s="295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  <c r="Y418" s="295"/>
      <c r="Z418" s="295"/>
      <c r="AA418" s="295"/>
      <c r="AB418" s="295"/>
      <c r="AC418" s="295"/>
    </row>
    <row r="419">
      <c r="A419" s="295"/>
      <c r="B419" s="350"/>
      <c r="C419" s="350"/>
      <c r="D419" s="295"/>
      <c r="E419" s="295"/>
      <c r="F419" s="295"/>
      <c r="G419" s="295"/>
      <c r="H419" s="295"/>
      <c r="I419" s="351"/>
      <c r="J419" s="295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  <c r="Y419" s="295"/>
      <c r="Z419" s="295"/>
      <c r="AA419" s="295"/>
      <c r="AB419" s="295"/>
      <c r="AC419" s="295"/>
    </row>
    <row r="420">
      <c r="A420" s="295"/>
      <c r="B420" s="350"/>
      <c r="C420" s="350"/>
      <c r="D420" s="295"/>
      <c r="E420" s="295"/>
      <c r="F420" s="295"/>
      <c r="G420" s="295"/>
      <c r="H420" s="295"/>
      <c r="I420" s="351"/>
      <c r="J420" s="295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  <c r="Y420" s="295"/>
      <c r="Z420" s="295"/>
      <c r="AA420" s="295"/>
      <c r="AB420" s="295"/>
      <c r="AC420" s="295"/>
    </row>
    <row r="421">
      <c r="A421" s="295"/>
      <c r="B421" s="350"/>
      <c r="C421" s="350"/>
      <c r="D421" s="295"/>
      <c r="E421" s="295"/>
      <c r="F421" s="295"/>
      <c r="G421" s="295"/>
      <c r="H421" s="295"/>
      <c r="I421" s="351"/>
      <c r="J421" s="295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  <c r="AA421" s="295"/>
      <c r="AB421" s="295"/>
      <c r="AC421" s="295"/>
    </row>
    <row r="422">
      <c r="A422" s="295"/>
      <c r="B422" s="350"/>
      <c r="C422" s="350"/>
      <c r="D422" s="295"/>
      <c r="E422" s="295"/>
      <c r="F422" s="295"/>
      <c r="G422" s="295"/>
      <c r="H422" s="295"/>
      <c r="I422" s="351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295"/>
      <c r="AC422" s="295"/>
    </row>
    <row r="423">
      <c r="A423" s="295"/>
      <c r="B423" s="350"/>
      <c r="C423" s="350"/>
      <c r="D423" s="295"/>
      <c r="E423" s="295"/>
      <c r="F423" s="295"/>
      <c r="G423" s="295"/>
      <c r="H423" s="295"/>
      <c r="I423" s="351"/>
      <c r="J423" s="295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  <c r="Y423" s="295"/>
      <c r="Z423" s="295"/>
      <c r="AA423" s="295"/>
      <c r="AB423" s="295"/>
      <c r="AC423" s="295"/>
    </row>
    <row r="424">
      <c r="A424" s="295"/>
      <c r="B424" s="350"/>
      <c r="C424" s="350"/>
      <c r="D424" s="295"/>
      <c r="E424" s="295"/>
      <c r="F424" s="295"/>
      <c r="G424" s="295"/>
      <c r="H424" s="295"/>
      <c r="I424" s="351"/>
      <c r="J424" s="295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  <c r="AA424" s="295"/>
      <c r="AB424" s="295"/>
      <c r="AC424" s="295"/>
    </row>
    <row r="425">
      <c r="A425" s="295"/>
      <c r="B425" s="350"/>
      <c r="C425" s="350"/>
      <c r="D425" s="295"/>
      <c r="E425" s="295"/>
      <c r="F425" s="295"/>
      <c r="G425" s="295"/>
      <c r="H425" s="295"/>
      <c r="I425" s="351"/>
      <c r="J425" s="295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  <c r="AA425" s="295"/>
      <c r="AB425" s="295"/>
      <c r="AC425" s="295"/>
    </row>
    <row r="426">
      <c r="A426" s="295"/>
      <c r="B426" s="350"/>
      <c r="C426" s="350"/>
      <c r="D426" s="295"/>
      <c r="E426" s="295"/>
      <c r="F426" s="295"/>
      <c r="G426" s="295"/>
      <c r="H426" s="295"/>
      <c r="I426" s="351"/>
      <c r="J426" s="295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  <c r="AA426" s="295"/>
      <c r="AB426" s="295"/>
      <c r="AC426" s="295"/>
    </row>
    <row r="427">
      <c r="A427" s="295"/>
      <c r="B427" s="350"/>
      <c r="C427" s="350"/>
      <c r="D427" s="295"/>
      <c r="E427" s="295"/>
      <c r="F427" s="295"/>
      <c r="G427" s="295"/>
      <c r="H427" s="295"/>
      <c r="I427" s="351"/>
      <c r="J427" s="295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  <c r="AA427" s="295"/>
      <c r="AB427" s="295"/>
      <c r="AC427" s="295"/>
    </row>
    <row r="428">
      <c r="A428" s="295"/>
      <c r="B428" s="350"/>
      <c r="C428" s="350"/>
      <c r="D428" s="295"/>
      <c r="E428" s="295"/>
      <c r="F428" s="295"/>
      <c r="G428" s="295"/>
      <c r="H428" s="295"/>
      <c r="I428" s="351"/>
      <c r="J428" s="295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  <c r="AA428" s="295"/>
      <c r="AB428" s="295"/>
      <c r="AC428" s="295"/>
    </row>
    <row r="429">
      <c r="A429" s="295"/>
      <c r="B429" s="350"/>
      <c r="C429" s="350"/>
      <c r="D429" s="295"/>
      <c r="E429" s="295"/>
      <c r="F429" s="295"/>
      <c r="G429" s="295"/>
      <c r="H429" s="295"/>
      <c r="I429" s="351"/>
      <c r="J429" s="295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  <c r="AA429" s="295"/>
      <c r="AB429" s="295"/>
      <c r="AC429" s="295"/>
    </row>
    <row r="430">
      <c r="A430" s="295"/>
      <c r="B430" s="350"/>
      <c r="C430" s="350"/>
      <c r="D430" s="295"/>
      <c r="E430" s="295"/>
      <c r="F430" s="295"/>
      <c r="G430" s="295"/>
      <c r="H430" s="295"/>
      <c r="I430" s="351"/>
      <c r="J430" s="295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  <c r="AA430" s="295"/>
      <c r="AB430" s="295"/>
      <c r="AC430" s="295"/>
    </row>
    <row r="431">
      <c r="A431" s="295"/>
      <c r="B431" s="350"/>
      <c r="C431" s="350"/>
      <c r="D431" s="295"/>
      <c r="E431" s="295"/>
      <c r="F431" s="295"/>
      <c r="G431" s="295"/>
      <c r="H431" s="295"/>
      <c r="I431" s="351"/>
      <c r="J431" s="295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  <c r="Y431" s="295"/>
      <c r="Z431" s="295"/>
      <c r="AA431" s="295"/>
      <c r="AB431" s="295"/>
      <c r="AC431" s="295"/>
    </row>
    <row r="432">
      <c r="A432" s="295"/>
      <c r="B432" s="350"/>
      <c r="C432" s="350"/>
      <c r="D432" s="295"/>
      <c r="E432" s="295"/>
      <c r="F432" s="295"/>
      <c r="G432" s="295"/>
      <c r="H432" s="295"/>
      <c r="I432" s="351"/>
      <c r="J432" s="295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  <c r="Y432" s="295"/>
      <c r="Z432" s="295"/>
      <c r="AA432" s="295"/>
      <c r="AB432" s="295"/>
      <c r="AC432" s="295"/>
    </row>
    <row r="433">
      <c r="A433" s="295"/>
      <c r="B433" s="350"/>
      <c r="C433" s="350"/>
      <c r="D433" s="295"/>
      <c r="E433" s="295"/>
      <c r="F433" s="295"/>
      <c r="G433" s="295"/>
      <c r="H433" s="295"/>
      <c r="I433" s="351"/>
      <c r="J433" s="295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  <c r="Y433" s="295"/>
      <c r="Z433" s="295"/>
      <c r="AA433" s="295"/>
      <c r="AB433" s="295"/>
      <c r="AC433" s="295"/>
    </row>
    <row r="434">
      <c r="A434" s="295"/>
      <c r="B434" s="350"/>
      <c r="C434" s="350"/>
      <c r="D434" s="295"/>
      <c r="E434" s="295"/>
      <c r="F434" s="295"/>
      <c r="G434" s="295"/>
      <c r="H434" s="295"/>
      <c r="I434" s="351"/>
      <c r="J434" s="295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  <c r="Y434" s="295"/>
      <c r="Z434" s="295"/>
      <c r="AA434" s="295"/>
      <c r="AB434" s="295"/>
      <c r="AC434" s="295"/>
    </row>
    <row r="435">
      <c r="A435" s="295"/>
      <c r="B435" s="350"/>
      <c r="C435" s="350"/>
      <c r="D435" s="295"/>
      <c r="E435" s="295"/>
      <c r="F435" s="295"/>
      <c r="G435" s="295"/>
      <c r="H435" s="295"/>
      <c r="I435" s="351"/>
      <c r="J435" s="295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  <c r="Y435" s="295"/>
      <c r="Z435" s="295"/>
      <c r="AA435" s="295"/>
      <c r="AB435" s="295"/>
      <c r="AC435" s="295"/>
    </row>
    <row r="436">
      <c r="A436" s="295"/>
      <c r="B436" s="350"/>
      <c r="C436" s="350"/>
      <c r="D436" s="295"/>
      <c r="E436" s="295"/>
      <c r="F436" s="295"/>
      <c r="G436" s="295"/>
      <c r="H436" s="295"/>
      <c r="I436" s="351"/>
      <c r="J436" s="295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  <c r="Y436" s="295"/>
      <c r="Z436" s="295"/>
      <c r="AA436" s="295"/>
      <c r="AB436" s="295"/>
      <c r="AC436" s="295"/>
    </row>
    <row r="437">
      <c r="A437" s="295"/>
      <c r="B437" s="350"/>
      <c r="C437" s="350"/>
      <c r="D437" s="295"/>
      <c r="E437" s="295"/>
      <c r="F437" s="295"/>
      <c r="G437" s="295"/>
      <c r="H437" s="295"/>
      <c r="I437" s="351"/>
      <c r="J437" s="295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  <c r="Y437" s="295"/>
      <c r="Z437" s="295"/>
      <c r="AA437" s="295"/>
      <c r="AB437" s="295"/>
      <c r="AC437" s="295"/>
    </row>
    <row r="438">
      <c r="A438" s="295"/>
      <c r="B438" s="350"/>
      <c r="C438" s="350"/>
      <c r="D438" s="295"/>
      <c r="E438" s="295"/>
      <c r="F438" s="295"/>
      <c r="G438" s="295"/>
      <c r="H438" s="295"/>
      <c r="I438" s="351"/>
      <c r="J438" s="295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  <c r="Y438" s="295"/>
      <c r="Z438" s="295"/>
      <c r="AA438" s="295"/>
      <c r="AB438" s="295"/>
      <c r="AC438" s="295"/>
    </row>
    <row r="439">
      <c r="A439" s="295"/>
      <c r="B439" s="350"/>
      <c r="C439" s="350"/>
      <c r="D439" s="295"/>
      <c r="E439" s="295"/>
      <c r="F439" s="295"/>
      <c r="G439" s="295"/>
      <c r="H439" s="295"/>
      <c r="I439" s="351"/>
      <c r="J439" s="295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  <c r="Y439" s="295"/>
      <c r="Z439" s="295"/>
      <c r="AA439" s="295"/>
      <c r="AB439" s="295"/>
      <c r="AC439" s="295"/>
    </row>
    <row r="440">
      <c r="A440" s="295"/>
      <c r="B440" s="350"/>
      <c r="C440" s="350"/>
      <c r="D440" s="295"/>
      <c r="E440" s="295"/>
      <c r="F440" s="295"/>
      <c r="G440" s="295"/>
      <c r="H440" s="295"/>
      <c r="I440" s="351"/>
      <c r="J440" s="295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  <c r="AA440" s="295"/>
      <c r="AB440" s="295"/>
      <c r="AC440" s="295"/>
    </row>
    <row r="441">
      <c r="A441" s="295"/>
      <c r="B441" s="350"/>
      <c r="C441" s="350"/>
      <c r="D441" s="295"/>
      <c r="E441" s="295"/>
      <c r="F441" s="295"/>
      <c r="G441" s="295"/>
      <c r="H441" s="295"/>
      <c r="I441" s="351"/>
      <c r="J441" s="295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  <c r="AA441" s="295"/>
      <c r="AB441" s="295"/>
      <c r="AC441" s="295"/>
    </row>
    <row r="442">
      <c r="A442" s="295"/>
      <c r="B442" s="350"/>
      <c r="C442" s="350"/>
      <c r="D442" s="295"/>
      <c r="E442" s="295"/>
      <c r="F442" s="295"/>
      <c r="G442" s="295"/>
      <c r="H442" s="295"/>
      <c r="I442" s="351"/>
      <c r="J442" s="295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  <c r="AA442" s="295"/>
      <c r="AB442" s="295"/>
      <c r="AC442" s="295"/>
    </row>
    <row r="443">
      <c r="A443" s="295"/>
      <c r="B443" s="350"/>
      <c r="C443" s="350"/>
      <c r="D443" s="295"/>
      <c r="E443" s="295"/>
      <c r="F443" s="295"/>
      <c r="G443" s="295"/>
      <c r="H443" s="295"/>
      <c r="I443" s="351"/>
      <c r="J443" s="295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  <c r="AA443" s="295"/>
      <c r="AB443" s="295"/>
      <c r="AC443" s="295"/>
    </row>
    <row r="444">
      <c r="A444" s="295"/>
      <c r="B444" s="350"/>
      <c r="C444" s="350"/>
      <c r="D444" s="295"/>
      <c r="E444" s="295"/>
      <c r="F444" s="295"/>
      <c r="G444" s="295"/>
      <c r="H444" s="295"/>
      <c r="I444" s="351"/>
      <c r="J444" s="295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  <c r="AA444" s="295"/>
      <c r="AB444" s="295"/>
      <c r="AC444" s="295"/>
    </row>
    <row r="445">
      <c r="A445" s="295"/>
      <c r="B445" s="350"/>
      <c r="C445" s="350"/>
      <c r="D445" s="295"/>
      <c r="E445" s="295"/>
      <c r="F445" s="295"/>
      <c r="G445" s="295"/>
      <c r="H445" s="295"/>
      <c r="I445" s="351"/>
      <c r="J445" s="295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  <c r="AA445" s="295"/>
      <c r="AB445" s="295"/>
      <c r="AC445" s="295"/>
    </row>
    <row r="446">
      <c r="A446" s="295"/>
      <c r="B446" s="350"/>
      <c r="C446" s="350"/>
      <c r="D446" s="295"/>
      <c r="E446" s="295"/>
      <c r="F446" s="295"/>
      <c r="G446" s="295"/>
      <c r="H446" s="295"/>
      <c r="I446" s="351"/>
      <c r="J446" s="295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  <c r="AA446" s="295"/>
      <c r="AB446" s="295"/>
      <c r="AC446" s="295"/>
    </row>
    <row r="447">
      <c r="A447" s="295"/>
      <c r="B447" s="350"/>
      <c r="C447" s="350"/>
      <c r="D447" s="295"/>
      <c r="E447" s="295"/>
      <c r="F447" s="295"/>
      <c r="G447" s="295"/>
      <c r="H447" s="295"/>
      <c r="I447" s="351"/>
      <c r="J447" s="295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  <c r="AA447" s="295"/>
      <c r="AB447" s="295"/>
      <c r="AC447" s="295"/>
    </row>
    <row r="448">
      <c r="A448" s="295"/>
      <c r="B448" s="350"/>
      <c r="C448" s="350"/>
      <c r="D448" s="295"/>
      <c r="E448" s="295"/>
      <c r="F448" s="295"/>
      <c r="G448" s="295"/>
      <c r="H448" s="295"/>
      <c r="I448" s="351"/>
      <c r="J448" s="295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  <c r="AA448" s="295"/>
      <c r="AB448" s="295"/>
      <c r="AC448" s="295"/>
    </row>
    <row r="449">
      <c r="A449" s="295"/>
      <c r="B449" s="350"/>
      <c r="C449" s="350"/>
      <c r="D449" s="295"/>
      <c r="E449" s="295"/>
      <c r="F449" s="295"/>
      <c r="G449" s="295"/>
      <c r="H449" s="295"/>
      <c r="I449" s="351"/>
      <c r="J449" s="295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  <c r="AA449" s="295"/>
      <c r="AB449" s="295"/>
      <c r="AC449" s="295"/>
    </row>
    <row r="450">
      <c r="A450" s="295"/>
      <c r="B450" s="350"/>
      <c r="C450" s="350"/>
      <c r="D450" s="295"/>
      <c r="E450" s="295"/>
      <c r="F450" s="295"/>
      <c r="G450" s="295"/>
      <c r="H450" s="295"/>
      <c r="I450" s="351"/>
      <c r="J450" s="295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  <c r="AA450" s="295"/>
      <c r="AB450" s="295"/>
      <c r="AC450" s="295"/>
    </row>
    <row r="451">
      <c r="A451" s="295"/>
      <c r="B451" s="350"/>
      <c r="C451" s="350"/>
      <c r="D451" s="295"/>
      <c r="E451" s="295"/>
      <c r="F451" s="295"/>
      <c r="G451" s="295"/>
      <c r="H451" s="295"/>
      <c r="I451" s="351"/>
      <c r="J451" s="295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  <c r="AA451" s="295"/>
      <c r="AB451" s="295"/>
      <c r="AC451" s="295"/>
    </row>
    <row r="452">
      <c r="A452" s="295"/>
      <c r="B452" s="350"/>
      <c r="C452" s="350"/>
      <c r="D452" s="295"/>
      <c r="E452" s="295"/>
      <c r="F452" s="295"/>
      <c r="G452" s="295"/>
      <c r="H452" s="295"/>
      <c r="I452" s="351"/>
      <c r="J452" s="295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  <c r="AA452" s="295"/>
      <c r="AB452" s="295"/>
      <c r="AC452" s="295"/>
    </row>
    <row r="453">
      <c r="A453" s="295"/>
      <c r="B453" s="350"/>
      <c r="C453" s="350"/>
      <c r="D453" s="295"/>
      <c r="E453" s="295"/>
      <c r="F453" s="295"/>
      <c r="G453" s="295"/>
      <c r="H453" s="295"/>
      <c r="I453" s="351"/>
      <c r="J453" s="295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  <c r="AA453" s="295"/>
      <c r="AB453" s="295"/>
      <c r="AC453" s="295"/>
    </row>
    <row r="454">
      <c r="A454" s="295"/>
      <c r="B454" s="350"/>
      <c r="C454" s="350"/>
      <c r="D454" s="295"/>
      <c r="E454" s="295"/>
      <c r="F454" s="295"/>
      <c r="G454" s="295"/>
      <c r="H454" s="295"/>
      <c r="I454" s="351"/>
      <c r="J454" s="295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  <c r="AA454" s="295"/>
      <c r="AB454" s="295"/>
      <c r="AC454" s="295"/>
    </row>
    <row r="455">
      <c r="A455" s="295"/>
      <c r="B455" s="350"/>
      <c r="C455" s="350"/>
      <c r="D455" s="295"/>
      <c r="E455" s="295"/>
      <c r="F455" s="295"/>
      <c r="G455" s="295"/>
      <c r="H455" s="295"/>
      <c r="I455" s="351"/>
      <c r="J455" s="295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  <c r="AA455" s="295"/>
      <c r="AB455" s="295"/>
      <c r="AC455" s="295"/>
    </row>
    <row r="456">
      <c r="A456" s="295"/>
      <c r="B456" s="350"/>
      <c r="C456" s="350"/>
      <c r="D456" s="295"/>
      <c r="E456" s="295"/>
      <c r="F456" s="295"/>
      <c r="G456" s="295"/>
      <c r="H456" s="295"/>
      <c r="I456" s="351"/>
      <c r="J456" s="295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  <c r="AA456" s="295"/>
      <c r="AB456" s="295"/>
      <c r="AC456" s="295"/>
    </row>
    <row r="457">
      <c r="A457" s="295"/>
      <c r="B457" s="350"/>
      <c r="C457" s="350"/>
      <c r="D457" s="295"/>
      <c r="E457" s="295"/>
      <c r="F457" s="295"/>
      <c r="G457" s="295"/>
      <c r="H457" s="295"/>
      <c r="I457" s="351"/>
      <c r="J457" s="295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  <c r="AA457" s="295"/>
      <c r="AB457" s="295"/>
      <c r="AC457" s="295"/>
    </row>
    <row r="458">
      <c r="A458" s="295"/>
      <c r="B458" s="350"/>
      <c r="C458" s="350"/>
      <c r="D458" s="295"/>
      <c r="E458" s="295"/>
      <c r="F458" s="295"/>
      <c r="G458" s="295"/>
      <c r="H458" s="295"/>
      <c r="I458" s="351"/>
      <c r="J458" s="295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  <c r="AA458" s="295"/>
      <c r="AB458" s="295"/>
      <c r="AC458" s="295"/>
    </row>
    <row r="459">
      <c r="A459" s="295"/>
      <c r="B459" s="350"/>
      <c r="C459" s="350"/>
      <c r="D459" s="295"/>
      <c r="E459" s="295"/>
      <c r="F459" s="295"/>
      <c r="G459" s="295"/>
      <c r="H459" s="295"/>
      <c r="I459" s="351"/>
      <c r="J459" s="295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  <c r="AA459" s="295"/>
      <c r="AB459" s="295"/>
      <c r="AC459" s="295"/>
    </row>
    <row r="460">
      <c r="A460" s="295"/>
      <c r="B460" s="350"/>
      <c r="C460" s="350"/>
      <c r="D460" s="295"/>
      <c r="E460" s="295"/>
      <c r="F460" s="295"/>
      <c r="G460" s="295"/>
      <c r="H460" s="295"/>
      <c r="I460" s="351"/>
      <c r="J460" s="295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  <c r="AA460" s="295"/>
      <c r="AB460" s="295"/>
      <c r="AC460" s="295"/>
    </row>
    <row r="461">
      <c r="A461" s="295"/>
      <c r="B461" s="350"/>
      <c r="C461" s="350"/>
      <c r="D461" s="295"/>
      <c r="E461" s="295"/>
      <c r="F461" s="295"/>
      <c r="G461" s="295"/>
      <c r="H461" s="295"/>
      <c r="I461" s="351"/>
      <c r="J461" s="295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  <c r="AA461" s="295"/>
      <c r="AB461" s="295"/>
      <c r="AC461" s="295"/>
    </row>
    <row r="462">
      <c r="A462" s="295"/>
      <c r="B462" s="350"/>
      <c r="C462" s="350"/>
      <c r="D462" s="295"/>
      <c r="E462" s="295"/>
      <c r="F462" s="295"/>
      <c r="G462" s="295"/>
      <c r="H462" s="295"/>
      <c r="I462" s="351"/>
      <c r="J462" s="295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  <c r="AA462" s="295"/>
      <c r="AB462" s="295"/>
      <c r="AC462" s="295"/>
    </row>
    <row r="463">
      <c r="A463" s="295"/>
      <c r="B463" s="350"/>
      <c r="C463" s="350"/>
      <c r="D463" s="295"/>
      <c r="E463" s="295"/>
      <c r="F463" s="295"/>
      <c r="G463" s="295"/>
      <c r="H463" s="295"/>
      <c r="I463" s="351"/>
      <c r="J463" s="295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  <c r="AA463" s="295"/>
      <c r="AB463" s="295"/>
      <c r="AC463" s="295"/>
    </row>
    <row r="464">
      <c r="A464" s="295"/>
      <c r="B464" s="350"/>
      <c r="C464" s="350"/>
      <c r="D464" s="295"/>
      <c r="E464" s="295"/>
      <c r="F464" s="295"/>
      <c r="G464" s="295"/>
      <c r="H464" s="295"/>
      <c r="I464" s="351"/>
      <c r="J464" s="295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  <c r="AA464" s="295"/>
      <c r="AB464" s="295"/>
      <c r="AC464" s="295"/>
    </row>
    <row r="465">
      <c r="A465" s="295"/>
      <c r="B465" s="350"/>
      <c r="C465" s="350"/>
      <c r="D465" s="295"/>
      <c r="E465" s="295"/>
      <c r="F465" s="295"/>
      <c r="G465" s="295"/>
      <c r="H465" s="295"/>
      <c r="I465" s="351"/>
      <c r="J465" s="295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  <c r="AA465" s="295"/>
      <c r="AB465" s="295"/>
      <c r="AC465" s="295"/>
    </row>
    <row r="466">
      <c r="A466" s="295"/>
      <c r="B466" s="350"/>
      <c r="C466" s="350"/>
      <c r="D466" s="295"/>
      <c r="E466" s="295"/>
      <c r="F466" s="295"/>
      <c r="G466" s="295"/>
      <c r="H466" s="295"/>
      <c r="I466" s="351"/>
      <c r="J466" s="295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  <c r="AA466" s="295"/>
      <c r="AB466" s="295"/>
      <c r="AC466" s="295"/>
    </row>
    <row r="467">
      <c r="A467" s="295"/>
      <c r="B467" s="350"/>
      <c r="C467" s="350"/>
      <c r="D467" s="295"/>
      <c r="E467" s="295"/>
      <c r="F467" s="295"/>
      <c r="G467" s="295"/>
      <c r="H467" s="295"/>
      <c r="I467" s="351"/>
      <c r="J467" s="295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  <c r="AA467" s="295"/>
      <c r="AB467" s="295"/>
      <c r="AC467" s="295"/>
    </row>
    <row r="468">
      <c r="A468" s="295"/>
      <c r="B468" s="350"/>
      <c r="C468" s="350"/>
      <c r="D468" s="295"/>
      <c r="E468" s="295"/>
      <c r="F468" s="295"/>
      <c r="G468" s="295"/>
      <c r="H468" s="295"/>
      <c r="I468" s="351"/>
      <c r="J468" s="295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  <c r="AA468" s="295"/>
      <c r="AB468" s="295"/>
      <c r="AC468" s="295"/>
    </row>
    <row r="469">
      <c r="A469" s="295"/>
      <c r="B469" s="350"/>
      <c r="C469" s="350"/>
      <c r="D469" s="295"/>
      <c r="E469" s="295"/>
      <c r="F469" s="295"/>
      <c r="G469" s="295"/>
      <c r="H469" s="295"/>
      <c r="I469" s="351"/>
      <c r="J469" s="295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  <c r="AA469" s="295"/>
      <c r="AB469" s="295"/>
      <c r="AC469" s="295"/>
    </row>
    <row r="470">
      <c r="A470" s="295"/>
      <c r="B470" s="350"/>
      <c r="C470" s="350"/>
      <c r="D470" s="295"/>
      <c r="E470" s="295"/>
      <c r="F470" s="295"/>
      <c r="G470" s="295"/>
      <c r="H470" s="295"/>
      <c r="I470" s="351"/>
      <c r="J470" s="295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  <c r="AA470" s="295"/>
      <c r="AB470" s="295"/>
      <c r="AC470" s="295"/>
    </row>
    <row r="471">
      <c r="A471" s="295"/>
      <c r="B471" s="350"/>
      <c r="C471" s="350"/>
      <c r="D471" s="295"/>
      <c r="E471" s="295"/>
      <c r="F471" s="295"/>
      <c r="G471" s="295"/>
      <c r="H471" s="295"/>
      <c r="I471" s="351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295"/>
      <c r="AC471" s="295"/>
    </row>
    <row r="472">
      <c r="A472" s="295"/>
      <c r="B472" s="350"/>
      <c r="C472" s="350"/>
      <c r="D472" s="295"/>
      <c r="E472" s="295"/>
      <c r="F472" s="295"/>
      <c r="G472" s="295"/>
      <c r="H472" s="295"/>
      <c r="I472" s="351"/>
      <c r="J472" s="295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  <c r="AA472" s="295"/>
      <c r="AB472" s="295"/>
      <c r="AC472" s="295"/>
    </row>
    <row r="473">
      <c r="A473" s="295"/>
      <c r="B473" s="350"/>
      <c r="C473" s="350"/>
      <c r="D473" s="295"/>
      <c r="E473" s="295"/>
      <c r="F473" s="295"/>
      <c r="G473" s="295"/>
      <c r="H473" s="295"/>
      <c r="I473" s="351"/>
      <c r="J473" s="295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  <c r="AA473" s="295"/>
      <c r="AB473" s="295"/>
      <c r="AC473" s="295"/>
    </row>
    <row r="474">
      <c r="A474" s="295"/>
      <c r="B474" s="350"/>
      <c r="C474" s="350"/>
      <c r="D474" s="295"/>
      <c r="E474" s="295"/>
      <c r="F474" s="295"/>
      <c r="G474" s="295"/>
      <c r="H474" s="295"/>
      <c r="I474" s="351"/>
      <c r="J474" s="295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  <c r="AA474" s="295"/>
      <c r="AB474" s="295"/>
      <c r="AC474" s="295"/>
    </row>
    <row r="475">
      <c r="A475" s="295"/>
      <c r="B475" s="350"/>
      <c r="C475" s="350"/>
      <c r="D475" s="295"/>
      <c r="E475" s="295"/>
      <c r="F475" s="295"/>
      <c r="G475" s="295"/>
      <c r="H475" s="295"/>
      <c r="I475" s="351"/>
      <c r="J475" s="295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  <c r="AA475" s="295"/>
      <c r="AB475" s="295"/>
      <c r="AC475" s="295"/>
    </row>
    <row r="476">
      <c r="A476" s="295"/>
      <c r="B476" s="350"/>
      <c r="C476" s="350"/>
      <c r="D476" s="295"/>
      <c r="E476" s="295"/>
      <c r="F476" s="295"/>
      <c r="G476" s="295"/>
      <c r="H476" s="295"/>
      <c r="I476" s="351"/>
      <c r="J476" s="295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  <c r="AA476" s="295"/>
      <c r="AB476" s="295"/>
      <c r="AC476" s="295"/>
    </row>
    <row r="477">
      <c r="A477" s="295"/>
      <c r="B477" s="350"/>
      <c r="C477" s="350"/>
      <c r="D477" s="295"/>
      <c r="E477" s="295"/>
      <c r="F477" s="295"/>
      <c r="G477" s="295"/>
      <c r="H477" s="295"/>
      <c r="I477" s="351"/>
      <c r="J477" s="295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  <c r="AA477" s="295"/>
      <c r="AB477" s="295"/>
      <c r="AC477" s="295"/>
    </row>
    <row r="478">
      <c r="A478" s="295"/>
      <c r="B478" s="350"/>
      <c r="C478" s="350"/>
      <c r="D478" s="295"/>
      <c r="E478" s="295"/>
      <c r="F478" s="295"/>
      <c r="G478" s="295"/>
      <c r="H478" s="295"/>
      <c r="I478" s="351"/>
      <c r="J478" s="295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  <c r="AA478" s="295"/>
      <c r="AB478" s="295"/>
      <c r="AC478" s="295"/>
    </row>
    <row r="479">
      <c r="A479" s="295"/>
      <c r="B479" s="350"/>
      <c r="C479" s="350"/>
      <c r="D479" s="295"/>
      <c r="E479" s="295"/>
      <c r="F479" s="295"/>
      <c r="G479" s="295"/>
      <c r="H479" s="295"/>
      <c r="I479" s="351"/>
      <c r="J479" s="295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  <c r="AA479" s="295"/>
      <c r="AB479" s="295"/>
      <c r="AC479" s="295"/>
    </row>
    <row r="480">
      <c r="A480" s="295"/>
      <c r="B480" s="350"/>
      <c r="C480" s="350"/>
      <c r="D480" s="295"/>
      <c r="E480" s="295"/>
      <c r="F480" s="295"/>
      <c r="G480" s="295"/>
      <c r="H480" s="295"/>
      <c r="I480" s="351"/>
      <c r="J480" s="295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  <c r="AA480" s="295"/>
      <c r="AB480" s="295"/>
      <c r="AC480" s="295"/>
    </row>
    <row r="481">
      <c r="A481" s="295"/>
      <c r="B481" s="350"/>
      <c r="C481" s="350"/>
      <c r="D481" s="295"/>
      <c r="E481" s="295"/>
      <c r="F481" s="295"/>
      <c r="G481" s="295"/>
      <c r="H481" s="295"/>
      <c r="I481" s="351"/>
      <c r="J481" s="295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  <c r="AA481" s="295"/>
      <c r="AB481" s="295"/>
      <c r="AC481" s="295"/>
    </row>
    <row r="482">
      <c r="A482" s="295"/>
      <c r="B482" s="350"/>
      <c r="C482" s="350"/>
      <c r="D482" s="295"/>
      <c r="E482" s="295"/>
      <c r="F482" s="295"/>
      <c r="G482" s="295"/>
      <c r="H482" s="295"/>
      <c r="I482" s="351"/>
      <c r="J482" s="295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  <c r="AA482" s="295"/>
      <c r="AB482" s="295"/>
      <c r="AC482" s="295"/>
    </row>
    <row r="483">
      <c r="A483" s="295"/>
      <c r="B483" s="350"/>
      <c r="C483" s="350"/>
      <c r="D483" s="295"/>
      <c r="E483" s="295"/>
      <c r="F483" s="295"/>
      <c r="G483" s="295"/>
      <c r="H483" s="295"/>
      <c r="I483" s="351"/>
      <c r="J483" s="295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  <c r="AA483" s="295"/>
      <c r="AB483" s="295"/>
      <c r="AC483" s="295"/>
    </row>
    <row r="484">
      <c r="A484" s="295"/>
      <c r="B484" s="350"/>
      <c r="C484" s="350"/>
      <c r="D484" s="295"/>
      <c r="E484" s="295"/>
      <c r="F484" s="295"/>
      <c r="G484" s="295"/>
      <c r="H484" s="295"/>
      <c r="I484" s="351"/>
      <c r="J484" s="295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  <c r="AA484" s="295"/>
      <c r="AB484" s="295"/>
      <c r="AC484" s="295"/>
    </row>
    <row r="485">
      <c r="A485" s="295"/>
      <c r="B485" s="350"/>
      <c r="C485" s="350"/>
      <c r="D485" s="295"/>
      <c r="E485" s="295"/>
      <c r="F485" s="295"/>
      <c r="G485" s="295"/>
      <c r="H485" s="295"/>
      <c r="I485" s="351"/>
      <c r="J485" s="295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  <c r="AA485" s="295"/>
      <c r="AB485" s="295"/>
      <c r="AC485" s="295"/>
    </row>
    <row r="486">
      <c r="A486" s="295"/>
      <c r="B486" s="350"/>
      <c r="C486" s="350"/>
      <c r="D486" s="295"/>
      <c r="E486" s="295"/>
      <c r="F486" s="295"/>
      <c r="G486" s="295"/>
      <c r="H486" s="295"/>
      <c r="I486" s="351"/>
      <c r="J486" s="295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  <c r="AA486" s="295"/>
      <c r="AB486" s="295"/>
      <c r="AC486" s="295"/>
    </row>
    <row r="487">
      <c r="A487" s="295"/>
      <c r="B487" s="350"/>
      <c r="C487" s="350"/>
      <c r="D487" s="295"/>
      <c r="E487" s="295"/>
      <c r="F487" s="295"/>
      <c r="G487" s="295"/>
      <c r="H487" s="295"/>
      <c r="I487" s="351"/>
      <c r="J487" s="295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  <c r="AA487" s="295"/>
      <c r="AB487" s="295"/>
      <c r="AC487" s="295"/>
    </row>
    <row r="488">
      <c r="A488" s="295"/>
      <c r="B488" s="350"/>
      <c r="C488" s="350"/>
      <c r="D488" s="295"/>
      <c r="E488" s="295"/>
      <c r="F488" s="295"/>
      <c r="G488" s="295"/>
      <c r="H488" s="295"/>
      <c r="I488" s="351"/>
      <c r="J488" s="295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  <c r="AA488" s="295"/>
      <c r="AB488" s="295"/>
      <c r="AC488" s="295"/>
    </row>
    <row r="489">
      <c r="A489" s="295"/>
      <c r="B489" s="350"/>
      <c r="C489" s="350"/>
      <c r="D489" s="295"/>
      <c r="E489" s="295"/>
      <c r="F489" s="295"/>
      <c r="G489" s="295"/>
      <c r="H489" s="295"/>
      <c r="I489" s="351"/>
      <c r="J489" s="295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  <c r="AA489" s="295"/>
      <c r="AB489" s="295"/>
      <c r="AC489" s="295"/>
    </row>
    <row r="490">
      <c r="A490" s="295"/>
      <c r="B490" s="350"/>
      <c r="C490" s="350"/>
      <c r="D490" s="295"/>
      <c r="E490" s="295"/>
      <c r="F490" s="295"/>
      <c r="G490" s="295"/>
      <c r="H490" s="295"/>
      <c r="I490" s="351"/>
      <c r="J490" s="295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  <c r="AA490" s="295"/>
      <c r="AB490" s="295"/>
      <c r="AC490" s="295"/>
    </row>
    <row r="491">
      <c r="A491" s="295"/>
      <c r="B491" s="350"/>
      <c r="C491" s="350"/>
      <c r="D491" s="295"/>
      <c r="E491" s="295"/>
      <c r="F491" s="295"/>
      <c r="G491" s="295"/>
      <c r="H491" s="295"/>
      <c r="I491" s="351"/>
      <c r="J491" s="295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  <c r="AA491" s="295"/>
      <c r="AB491" s="295"/>
      <c r="AC491" s="295"/>
    </row>
    <row r="492">
      <c r="A492" s="295"/>
      <c r="B492" s="350"/>
      <c r="C492" s="350"/>
      <c r="D492" s="295"/>
      <c r="E492" s="295"/>
      <c r="F492" s="295"/>
      <c r="G492" s="295"/>
      <c r="H492" s="295"/>
      <c r="I492" s="351"/>
      <c r="J492" s="295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  <c r="AA492" s="295"/>
      <c r="AB492" s="295"/>
      <c r="AC492" s="295"/>
    </row>
    <row r="493">
      <c r="A493" s="295"/>
      <c r="B493" s="350"/>
      <c r="C493" s="350"/>
      <c r="D493" s="295"/>
      <c r="E493" s="295"/>
      <c r="F493" s="295"/>
      <c r="G493" s="295"/>
      <c r="H493" s="295"/>
      <c r="I493" s="351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  <c r="AA493" s="295"/>
      <c r="AB493" s="295"/>
      <c r="AC493" s="295"/>
    </row>
    <row r="494">
      <c r="A494" s="295"/>
      <c r="B494" s="350"/>
      <c r="C494" s="350"/>
      <c r="D494" s="295"/>
      <c r="E494" s="295"/>
      <c r="F494" s="295"/>
      <c r="G494" s="295"/>
      <c r="H494" s="295"/>
      <c r="I494" s="351"/>
      <c r="J494" s="295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  <c r="AA494" s="295"/>
      <c r="AB494" s="295"/>
      <c r="AC494" s="295"/>
    </row>
    <row r="495">
      <c r="A495" s="295"/>
      <c r="B495" s="350"/>
      <c r="C495" s="350"/>
      <c r="D495" s="295"/>
      <c r="E495" s="295"/>
      <c r="F495" s="295"/>
      <c r="G495" s="295"/>
      <c r="H495" s="295"/>
      <c r="I495" s="351"/>
      <c r="J495" s="295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  <c r="AA495" s="295"/>
      <c r="AB495" s="295"/>
      <c r="AC495" s="295"/>
    </row>
    <row r="496">
      <c r="A496" s="295"/>
      <c r="B496" s="350"/>
      <c r="C496" s="350"/>
      <c r="D496" s="295"/>
      <c r="E496" s="295"/>
      <c r="F496" s="295"/>
      <c r="G496" s="295"/>
      <c r="H496" s="295"/>
      <c r="I496" s="351"/>
      <c r="J496" s="295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  <c r="AA496" s="295"/>
      <c r="AB496" s="295"/>
      <c r="AC496" s="295"/>
    </row>
    <row r="497">
      <c r="A497" s="295"/>
      <c r="B497" s="350"/>
      <c r="C497" s="350"/>
      <c r="D497" s="295"/>
      <c r="E497" s="295"/>
      <c r="F497" s="295"/>
      <c r="G497" s="295"/>
      <c r="H497" s="295"/>
      <c r="I497" s="351"/>
      <c r="J497" s="295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  <c r="AA497" s="295"/>
      <c r="AB497" s="295"/>
      <c r="AC497" s="295"/>
    </row>
    <row r="498">
      <c r="A498" s="295"/>
      <c r="B498" s="350"/>
      <c r="C498" s="350"/>
      <c r="D498" s="295"/>
      <c r="E498" s="295"/>
      <c r="F498" s="295"/>
      <c r="G498" s="295"/>
      <c r="H498" s="295"/>
      <c r="I498" s="351"/>
      <c r="J498" s="295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  <c r="AA498" s="295"/>
      <c r="AB498" s="295"/>
      <c r="AC498" s="295"/>
    </row>
    <row r="499">
      <c r="A499" s="295"/>
      <c r="B499" s="350"/>
      <c r="C499" s="350"/>
      <c r="D499" s="295"/>
      <c r="E499" s="295"/>
      <c r="F499" s="295"/>
      <c r="G499" s="295"/>
      <c r="H499" s="295"/>
      <c r="I499" s="351"/>
      <c r="J499" s="295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  <c r="AA499" s="295"/>
      <c r="AB499" s="295"/>
      <c r="AC499" s="295"/>
    </row>
    <row r="500">
      <c r="A500" s="295"/>
      <c r="B500" s="350"/>
      <c r="C500" s="350"/>
      <c r="D500" s="295"/>
      <c r="E500" s="295"/>
      <c r="F500" s="295"/>
      <c r="G500" s="295"/>
      <c r="H500" s="295"/>
      <c r="I500" s="351"/>
      <c r="J500" s="295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  <c r="AA500" s="295"/>
      <c r="AB500" s="295"/>
      <c r="AC500" s="295"/>
    </row>
    <row r="501">
      <c r="A501" s="295"/>
      <c r="B501" s="350"/>
      <c r="C501" s="350"/>
      <c r="D501" s="295"/>
      <c r="E501" s="295"/>
      <c r="F501" s="295"/>
      <c r="G501" s="295"/>
      <c r="H501" s="295"/>
      <c r="I501" s="351"/>
      <c r="J501" s="295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  <c r="AA501" s="295"/>
      <c r="AB501" s="295"/>
      <c r="AC501" s="295"/>
    </row>
    <row r="502">
      <c r="A502" s="295"/>
      <c r="B502" s="350"/>
      <c r="C502" s="350"/>
      <c r="D502" s="295"/>
      <c r="E502" s="295"/>
      <c r="F502" s="295"/>
      <c r="G502" s="295"/>
      <c r="H502" s="295"/>
      <c r="I502" s="351"/>
      <c r="J502" s="295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  <c r="AA502" s="295"/>
      <c r="AB502" s="295"/>
      <c r="AC502" s="295"/>
    </row>
    <row r="503">
      <c r="A503" s="295"/>
      <c r="B503" s="350"/>
      <c r="C503" s="350"/>
      <c r="D503" s="295"/>
      <c r="E503" s="295"/>
      <c r="F503" s="295"/>
      <c r="G503" s="295"/>
      <c r="H503" s="295"/>
      <c r="I503" s="351"/>
      <c r="J503" s="295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  <c r="AA503" s="295"/>
      <c r="AB503" s="295"/>
      <c r="AC503" s="295"/>
    </row>
    <row r="504">
      <c r="A504" s="295"/>
      <c r="B504" s="350"/>
      <c r="C504" s="350"/>
      <c r="D504" s="295"/>
      <c r="E504" s="295"/>
      <c r="F504" s="295"/>
      <c r="G504" s="295"/>
      <c r="H504" s="295"/>
      <c r="I504" s="351"/>
      <c r="J504" s="295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  <c r="AA504" s="295"/>
      <c r="AB504" s="295"/>
      <c r="AC504" s="295"/>
    </row>
    <row r="505">
      <c r="A505" s="295"/>
      <c r="B505" s="350"/>
      <c r="C505" s="350"/>
      <c r="D505" s="295"/>
      <c r="E505" s="295"/>
      <c r="F505" s="295"/>
      <c r="G505" s="295"/>
      <c r="H505" s="295"/>
      <c r="I505" s="351"/>
      <c r="J505" s="295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  <c r="AA505" s="295"/>
      <c r="AB505" s="295"/>
      <c r="AC505" s="295"/>
    </row>
    <row r="506">
      <c r="A506" s="295"/>
      <c r="B506" s="350"/>
      <c r="C506" s="350"/>
      <c r="D506" s="295"/>
      <c r="E506" s="295"/>
      <c r="F506" s="295"/>
      <c r="G506" s="295"/>
      <c r="H506" s="295"/>
      <c r="I506" s="351"/>
      <c r="J506" s="295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  <c r="AA506" s="295"/>
      <c r="AB506" s="295"/>
      <c r="AC506" s="295"/>
    </row>
    <row r="507">
      <c r="A507" s="295"/>
      <c r="B507" s="350"/>
      <c r="C507" s="350"/>
      <c r="D507" s="295"/>
      <c r="E507" s="295"/>
      <c r="F507" s="295"/>
      <c r="G507" s="295"/>
      <c r="H507" s="295"/>
      <c r="I507" s="351"/>
      <c r="J507" s="295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  <c r="AA507" s="295"/>
      <c r="AB507" s="295"/>
      <c r="AC507" s="295"/>
    </row>
    <row r="508">
      <c r="A508" s="295"/>
      <c r="B508" s="350"/>
      <c r="C508" s="350"/>
      <c r="D508" s="295"/>
      <c r="E508" s="295"/>
      <c r="F508" s="295"/>
      <c r="G508" s="295"/>
      <c r="H508" s="295"/>
      <c r="I508" s="351"/>
      <c r="J508" s="295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  <c r="AA508" s="295"/>
      <c r="AB508" s="295"/>
      <c r="AC508" s="295"/>
    </row>
    <row r="509">
      <c r="A509" s="295"/>
      <c r="B509" s="350"/>
      <c r="C509" s="350"/>
      <c r="D509" s="295"/>
      <c r="E509" s="295"/>
      <c r="F509" s="295"/>
      <c r="G509" s="295"/>
      <c r="H509" s="295"/>
      <c r="I509" s="351"/>
      <c r="J509" s="295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  <c r="AA509" s="295"/>
      <c r="AB509" s="295"/>
      <c r="AC509" s="295"/>
    </row>
    <row r="510">
      <c r="A510" s="295"/>
      <c r="B510" s="350"/>
      <c r="C510" s="350"/>
      <c r="D510" s="295"/>
      <c r="E510" s="295"/>
      <c r="F510" s="295"/>
      <c r="G510" s="295"/>
      <c r="H510" s="295"/>
      <c r="I510" s="351"/>
      <c r="J510" s="295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  <c r="AA510" s="295"/>
      <c r="AB510" s="295"/>
      <c r="AC510" s="295"/>
    </row>
    <row r="511">
      <c r="A511" s="295"/>
      <c r="B511" s="350"/>
      <c r="C511" s="350"/>
      <c r="D511" s="295"/>
      <c r="E511" s="295"/>
      <c r="F511" s="295"/>
      <c r="G511" s="295"/>
      <c r="H511" s="295"/>
      <c r="I511" s="351"/>
      <c r="J511" s="295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  <c r="AA511" s="295"/>
      <c r="AB511" s="295"/>
      <c r="AC511" s="295"/>
    </row>
    <row r="512">
      <c r="A512" s="295"/>
      <c r="B512" s="350"/>
      <c r="C512" s="350"/>
      <c r="D512" s="295"/>
      <c r="E512" s="295"/>
      <c r="F512" s="295"/>
      <c r="G512" s="295"/>
      <c r="H512" s="295"/>
      <c r="I512" s="351"/>
      <c r="J512" s="295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  <c r="AA512" s="295"/>
      <c r="AB512" s="295"/>
      <c r="AC512" s="295"/>
    </row>
    <row r="513">
      <c r="A513" s="295"/>
      <c r="B513" s="350"/>
      <c r="C513" s="350"/>
      <c r="D513" s="295"/>
      <c r="E513" s="295"/>
      <c r="F513" s="295"/>
      <c r="G513" s="295"/>
      <c r="H513" s="295"/>
      <c r="I513" s="351"/>
      <c r="J513" s="295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  <c r="AA513" s="295"/>
      <c r="AB513" s="295"/>
      <c r="AC513" s="295"/>
    </row>
    <row r="514">
      <c r="A514" s="295"/>
      <c r="B514" s="350"/>
      <c r="C514" s="350"/>
      <c r="D514" s="295"/>
      <c r="E514" s="295"/>
      <c r="F514" s="295"/>
      <c r="G514" s="295"/>
      <c r="H514" s="295"/>
      <c r="I514" s="351"/>
      <c r="J514" s="295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  <c r="AA514" s="295"/>
      <c r="AB514" s="295"/>
      <c r="AC514" s="295"/>
    </row>
    <row r="515">
      <c r="A515" s="295"/>
      <c r="B515" s="350"/>
      <c r="C515" s="350"/>
      <c r="D515" s="295"/>
      <c r="E515" s="295"/>
      <c r="F515" s="295"/>
      <c r="G515" s="295"/>
      <c r="H515" s="295"/>
      <c r="I515" s="351"/>
      <c r="J515" s="295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  <c r="AA515" s="295"/>
      <c r="AB515" s="295"/>
      <c r="AC515" s="295"/>
    </row>
    <row r="516">
      <c r="A516" s="295"/>
      <c r="B516" s="350"/>
      <c r="C516" s="350"/>
      <c r="D516" s="295"/>
      <c r="E516" s="295"/>
      <c r="F516" s="295"/>
      <c r="G516" s="295"/>
      <c r="H516" s="295"/>
      <c r="I516" s="351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  <c r="AB516" s="295"/>
      <c r="AC516" s="295"/>
    </row>
    <row r="517">
      <c r="A517" s="295"/>
      <c r="B517" s="350"/>
      <c r="C517" s="350"/>
      <c r="D517" s="295"/>
      <c r="E517" s="295"/>
      <c r="F517" s="295"/>
      <c r="G517" s="295"/>
      <c r="H517" s="295"/>
      <c r="I517" s="351"/>
      <c r="J517" s="295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  <c r="AA517" s="295"/>
      <c r="AB517" s="295"/>
      <c r="AC517" s="295"/>
    </row>
    <row r="518">
      <c r="A518" s="295"/>
      <c r="B518" s="350"/>
      <c r="C518" s="350"/>
      <c r="D518" s="295"/>
      <c r="E518" s="295"/>
      <c r="F518" s="295"/>
      <c r="G518" s="295"/>
      <c r="H518" s="295"/>
      <c r="I518" s="351"/>
      <c r="J518" s="295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  <c r="AA518" s="295"/>
      <c r="AB518" s="295"/>
      <c r="AC518" s="295"/>
    </row>
    <row r="519">
      <c r="A519" s="295"/>
      <c r="B519" s="350"/>
      <c r="C519" s="350"/>
      <c r="D519" s="295"/>
      <c r="E519" s="295"/>
      <c r="F519" s="295"/>
      <c r="G519" s="295"/>
      <c r="H519" s="295"/>
      <c r="I519" s="351"/>
      <c r="J519" s="295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  <c r="AA519" s="295"/>
      <c r="AB519" s="295"/>
      <c r="AC519" s="295"/>
    </row>
    <row r="520">
      <c r="A520" s="295"/>
      <c r="B520" s="350"/>
      <c r="C520" s="350"/>
      <c r="D520" s="295"/>
      <c r="E520" s="295"/>
      <c r="F520" s="295"/>
      <c r="G520" s="295"/>
      <c r="H520" s="295"/>
      <c r="I520" s="351"/>
      <c r="J520" s="295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  <c r="AA520" s="295"/>
      <c r="AB520" s="295"/>
      <c r="AC520" s="295"/>
    </row>
    <row r="521">
      <c r="A521" s="295"/>
      <c r="B521" s="350"/>
      <c r="C521" s="350"/>
      <c r="D521" s="295"/>
      <c r="E521" s="295"/>
      <c r="F521" s="295"/>
      <c r="G521" s="295"/>
      <c r="H521" s="295"/>
      <c r="I521" s="351"/>
      <c r="J521" s="295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  <c r="AA521" s="295"/>
      <c r="AB521" s="295"/>
      <c r="AC521" s="295"/>
    </row>
    <row r="522">
      <c r="A522" s="295"/>
      <c r="B522" s="350"/>
      <c r="C522" s="350"/>
      <c r="D522" s="295"/>
      <c r="E522" s="295"/>
      <c r="F522" s="295"/>
      <c r="G522" s="295"/>
      <c r="H522" s="295"/>
      <c r="I522" s="351"/>
      <c r="J522" s="295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  <c r="AA522" s="295"/>
      <c r="AB522" s="295"/>
      <c r="AC522" s="295"/>
    </row>
    <row r="523">
      <c r="A523" s="295"/>
      <c r="B523" s="350"/>
      <c r="C523" s="350"/>
      <c r="D523" s="295"/>
      <c r="E523" s="295"/>
      <c r="F523" s="295"/>
      <c r="G523" s="295"/>
      <c r="H523" s="295"/>
      <c r="I523" s="351"/>
      <c r="J523" s="295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  <c r="AA523" s="295"/>
      <c r="AB523" s="295"/>
      <c r="AC523" s="295"/>
    </row>
    <row r="524">
      <c r="A524" s="295"/>
      <c r="B524" s="350"/>
      <c r="C524" s="350"/>
      <c r="D524" s="295"/>
      <c r="E524" s="295"/>
      <c r="F524" s="295"/>
      <c r="G524" s="295"/>
      <c r="H524" s="295"/>
      <c r="I524" s="351"/>
      <c r="J524" s="295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  <c r="AA524" s="295"/>
      <c r="AB524" s="295"/>
      <c r="AC524" s="295"/>
    </row>
    <row r="525">
      <c r="A525" s="295"/>
      <c r="B525" s="350"/>
      <c r="C525" s="350"/>
      <c r="D525" s="295"/>
      <c r="E525" s="295"/>
      <c r="F525" s="295"/>
      <c r="G525" s="295"/>
      <c r="H525" s="295"/>
      <c r="I525" s="351"/>
      <c r="J525" s="295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  <c r="AA525" s="295"/>
      <c r="AB525" s="295"/>
      <c r="AC525" s="295"/>
    </row>
    <row r="526">
      <c r="A526" s="295"/>
      <c r="B526" s="350"/>
      <c r="C526" s="350"/>
      <c r="D526" s="295"/>
      <c r="E526" s="295"/>
      <c r="F526" s="295"/>
      <c r="G526" s="295"/>
      <c r="H526" s="295"/>
      <c r="I526" s="351"/>
      <c r="J526" s="295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  <c r="AA526" s="295"/>
      <c r="AB526" s="295"/>
      <c r="AC526" s="295"/>
    </row>
    <row r="527">
      <c r="A527" s="295"/>
      <c r="B527" s="350"/>
      <c r="C527" s="350"/>
      <c r="D527" s="295"/>
      <c r="E527" s="295"/>
      <c r="F527" s="295"/>
      <c r="G527" s="295"/>
      <c r="H527" s="295"/>
      <c r="I527" s="351"/>
      <c r="J527" s="295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  <c r="AA527" s="295"/>
      <c r="AB527" s="295"/>
      <c r="AC527" s="295"/>
    </row>
    <row r="528">
      <c r="A528" s="295"/>
      <c r="B528" s="350"/>
      <c r="C528" s="350"/>
      <c r="D528" s="295"/>
      <c r="E528" s="295"/>
      <c r="F528" s="295"/>
      <c r="G528" s="295"/>
      <c r="H528" s="295"/>
      <c r="I528" s="351"/>
      <c r="J528" s="295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  <c r="AA528" s="295"/>
      <c r="AB528" s="295"/>
      <c r="AC528" s="295"/>
    </row>
    <row r="529">
      <c r="A529" s="295"/>
      <c r="B529" s="350"/>
      <c r="C529" s="350"/>
      <c r="D529" s="295"/>
      <c r="E529" s="295"/>
      <c r="F529" s="295"/>
      <c r="G529" s="295"/>
      <c r="H529" s="295"/>
      <c r="I529" s="351"/>
      <c r="J529" s="295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  <c r="AA529" s="295"/>
      <c r="AB529" s="295"/>
      <c r="AC529" s="295"/>
    </row>
    <row r="530">
      <c r="A530" s="295"/>
      <c r="B530" s="350"/>
      <c r="C530" s="350"/>
      <c r="D530" s="295"/>
      <c r="E530" s="295"/>
      <c r="F530" s="295"/>
      <c r="G530" s="295"/>
      <c r="H530" s="295"/>
      <c r="I530" s="351"/>
      <c r="J530" s="295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  <c r="AA530" s="295"/>
      <c r="AB530" s="295"/>
      <c r="AC530" s="295"/>
    </row>
    <row r="531">
      <c r="A531" s="295"/>
      <c r="B531" s="350"/>
      <c r="C531" s="350"/>
      <c r="D531" s="295"/>
      <c r="E531" s="295"/>
      <c r="F531" s="295"/>
      <c r="G531" s="295"/>
      <c r="H531" s="295"/>
      <c r="I531" s="351"/>
      <c r="J531" s="295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  <c r="AA531" s="295"/>
      <c r="AB531" s="295"/>
      <c r="AC531" s="295"/>
    </row>
    <row r="532">
      <c r="A532" s="295"/>
      <c r="B532" s="350"/>
      <c r="C532" s="350"/>
      <c r="D532" s="295"/>
      <c r="E532" s="295"/>
      <c r="F532" s="295"/>
      <c r="G532" s="295"/>
      <c r="H532" s="295"/>
      <c r="I532" s="351"/>
      <c r="J532" s="295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  <c r="AA532" s="295"/>
      <c r="AB532" s="295"/>
      <c r="AC532" s="295"/>
    </row>
    <row r="533">
      <c r="A533" s="295"/>
      <c r="B533" s="350"/>
      <c r="C533" s="350"/>
      <c r="D533" s="295"/>
      <c r="E533" s="295"/>
      <c r="F533" s="295"/>
      <c r="G533" s="295"/>
      <c r="H533" s="295"/>
      <c r="I533" s="351"/>
      <c r="J533" s="295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  <c r="AA533" s="295"/>
      <c r="AB533" s="295"/>
      <c r="AC533" s="295"/>
    </row>
    <row r="534">
      <c r="A534" s="295"/>
      <c r="B534" s="350"/>
      <c r="C534" s="350"/>
      <c r="D534" s="295"/>
      <c r="E534" s="295"/>
      <c r="F534" s="295"/>
      <c r="G534" s="295"/>
      <c r="H534" s="295"/>
      <c r="I534" s="351"/>
      <c r="J534" s="295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  <c r="AA534" s="295"/>
      <c r="AB534" s="295"/>
      <c r="AC534" s="295"/>
    </row>
    <row r="535">
      <c r="A535" s="295"/>
      <c r="B535" s="350"/>
      <c r="C535" s="350"/>
      <c r="D535" s="295"/>
      <c r="E535" s="295"/>
      <c r="F535" s="295"/>
      <c r="G535" s="295"/>
      <c r="H535" s="295"/>
      <c r="I535" s="351"/>
      <c r="J535" s="295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  <c r="AA535" s="295"/>
      <c r="AB535" s="295"/>
      <c r="AC535" s="295"/>
    </row>
    <row r="536">
      <c r="A536" s="295"/>
      <c r="B536" s="350"/>
      <c r="C536" s="350"/>
      <c r="D536" s="295"/>
      <c r="E536" s="295"/>
      <c r="F536" s="295"/>
      <c r="G536" s="295"/>
      <c r="H536" s="295"/>
      <c r="I536" s="351"/>
      <c r="J536" s="295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  <c r="AA536" s="295"/>
      <c r="AB536" s="295"/>
      <c r="AC536" s="295"/>
    </row>
    <row r="537">
      <c r="A537" s="295"/>
      <c r="B537" s="350"/>
      <c r="C537" s="350"/>
      <c r="D537" s="295"/>
      <c r="E537" s="295"/>
      <c r="F537" s="295"/>
      <c r="G537" s="295"/>
      <c r="H537" s="295"/>
      <c r="I537" s="351"/>
      <c r="J537" s="295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  <c r="AA537" s="295"/>
      <c r="AB537" s="295"/>
      <c r="AC537" s="295"/>
    </row>
    <row r="538">
      <c r="A538" s="295"/>
      <c r="B538" s="350"/>
      <c r="C538" s="350"/>
      <c r="D538" s="295"/>
      <c r="E538" s="295"/>
      <c r="F538" s="295"/>
      <c r="G538" s="295"/>
      <c r="H538" s="295"/>
      <c r="I538" s="351"/>
      <c r="J538" s="295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  <c r="AA538" s="295"/>
      <c r="AB538" s="295"/>
      <c r="AC538" s="295"/>
    </row>
    <row r="539">
      <c r="A539" s="295"/>
      <c r="B539" s="350"/>
      <c r="C539" s="350"/>
      <c r="D539" s="295"/>
      <c r="E539" s="295"/>
      <c r="F539" s="295"/>
      <c r="G539" s="295"/>
      <c r="H539" s="295"/>
      <c r="I539" s="351"/>
      <c r="J539" s="295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  <c r="AA539" s="295"/>
      <c r="AB539" s="295"/>
      <c r="AC539" s="295"/>
    </row>
    <row r="540">
      <c r="A540" s="295"/>
      <c r="B540" s="350"/>
      <c r="C540" s="350"/>
      <c r="D540" s="295"/>
      <c r="E540" s="295"/>
      <c r="F540" s="295"/>
      <c r="G540" s="295"/>
      <c r="H540" s="295"/>
      <c r="I540" s="351"/>
      <c r="J540" s="295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  <c r="AA540" s="295"/>
      <c r="AB540" s="295"/>
      <c r="AC540" s="295"/>
    </row>
    <row r="541">
      <c r="A541" s="295"/>
      <c r="B541" s="350"/>
      <c r="C541" s="350"/>
      <c r="D541" s="295"/>
      <c r="E541" s="295"/>
      <c r="F541" s="295"/>
      <c r="G541" s="295"/>
      <c r="H541" s="295"/>
      <c r="I541" s="351"/>
      <c r="J541" s="295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  <c r="AA541" s="295"/>
      <c r="AB541" s="295"/>
      <c r="AC541" s="295"/>
    </row>
    <row r="542">
      <c r="A542" s="295"/>
      <c r="B542" s="350"/>
      <c r="C542" s="350"/>
      <c r="D542" s="295"/>
      <c r="E542" s="295"/>
      <c r="F542" s="295"/>
      <c r="G542" s="295"/>
      <c r="H542" s="295"/>
      <c r="I542" s="351"/>
      <c r="J542" s="295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  <c r="AA542" s="295"/>
      <c r="AB542" s="295"/>
      <c r="AC542" s="295"/>
    </row>
    <row r="543">
      <c r="A543" s="295"/>
      <c r="B543" s="350"/>
      <c r="C543" s="350"/>
      <c r="D543" s="295"/>
      <c r="E543" s="295"/>
      <c r="F543" s="295"/>
      <c r="G543" s="295"/>
      <c r="H543" s="295"/>
      <c r="I543" s="351"/>
      <c r="J543" s="295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  <c r="AA543" s="295"/>
      <c r="AB543" s="295"/>
      <c r="AC543" s="295"/>
    </row>
    <row r="544">
      <c r="A544" s="295"/>
      <c r="B544" s="350"/>
      <c r="C544" s="350"/>
      <c r="D544" s="295"/>
      <c r="E544" s="295"/>
      <c r="F544" s="295"/>
      <c r="G544" s="295"/>
      <c r="H544" s="295"/>
      <c r="I544" s="351"/>
      <c r="J544" s="295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  <c r="AA544" s="295"/>
      <c r="AB544" s="295"/>
      <c r="AC544" s="295"/>
    </row>
    <row r="545">
      <c r="A545" s="295"/>
      <c r="B545" s="350"/>
      <c r="C545" s="350"/>
      <c r="D545" s="295"/>
      <c r="E545" s="295"/>
      <c r="F545" s="295"/>
      <c r="G545" s="295"/>
      <c r="H545" s="295"/>
      <c r="I545" s="351"/>
      <c r="J545" s="295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  <c r="AA545" s="295"/>
      <c r="AB545" s="295"/>
      <c r="AC545" s="295"/>
    </row>
    <row r="546">
      <c r="A546" s="295"/>
      <c r="B546" s="350"/>
      <c r="C546" s="350"/>
      <c r="D546" s="295"/>
      <c r="E546" s="295"/>
      <c r="F546" s="295"/>
      <c r="G546" s="295"/>
      <c r="H546" s="295"/>
      <c r="I546" s="351"/>
      <c r="J546" s="295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  <c r="AA546" s="295"/>
      <c r="AB546" s="295"/>
      <c r="AC546" s="295"/>
    </row>
    <row r="547">
      <c r="A547" s="295"/>
      <c r="B547" s="350"/>
      <c r="C547" s="350"/>
      <c r="D547" s="295"/>
      <c r="E547" s="295"/>
      <c r="F547" s="295"/>
      <c r="G547" s="295"/>
      <c r="H547" s="295"/>
      <c r="I547" s="351"/>
      <c r="J547" s="295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  <c r="AA547" s="295"/>
      <c r="AB547" s="295"/>
      <c r="AC547" s="295"/>
    </row>
    <row r="548">
      <c r="A548" s="295"/>
      <c r="B548" s="350"/>
      <c r="C548" s="350"/>
      <c r="D548" s="295"/>
      <c r="E548" s="295"/>
      <c r="F548" s="295"/>
      <c r="G548" s="295"/>
      <c r="H548" s="295"/>
      <c r="I548" s="351"/>
      <c r="J548" s="295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  <c r="AA548" s="295"/>
      <c r="AB548" s="295"/>
      <c r="AC548" s="295"/>
    </row>
    <row r="549">
      <c r="A549" s="295"/>
      <c r="B549" s="350"/>
      <c r="C549" s="350"/>
      <c r="D549" s="295"/>
      <c r="E549" s="295"/>
      <c r="F549" s="295"/>
      <c r="G549" s="295"/>
      <c r="H549" s="295"/>
      <c r="I549" s="351"/>
      <c r="J549" s="295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  <c r="AA549" s="295"/>
      <c r="AB549" s="295"/>
      <c r="AC549" s="295"/>
    </row>
    <row r="550">
      <c r="A550" s="295"/>
      <c r="B550" s="350"/>
      <c r="C550" s="350"/>
      <c r="D550" s="295"/>
      <c r="E550" s="295"/>
      <c r="F550" s="295"/>
      <c r="G550" s="295"/>
      <c r="H550" s="295"/>
      <c r="I550" s="351"/>
      <c r="J550" s="295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  <c r="AA550" s="295"/>
      <c r="AB550" s="295"/>
      <c r="AC550" s="295"/>
    </row>
    <row r="551">
      <c r="A551" s="295"/>
      <c r="B551" s="350"/>
      <c r="C551" s="350"/>
      <c r="D551" s="295"/>
      <c r="E551" s="295"/>
      <c r="F551" s="295"/>
      <c r="G551" s="295"/>
      <c r="H551" s="295"/>
      <c r="I551" s="351"/>
      <c r="J551" s="295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  <c r="AA551" s="295"/>
      <c r="AB551" s="295"/>
      <c r="AC551" s="295"/>
    </row>
    <row r="552">
      <c r="A552" s="295"/>
      <c r="B552" s="350"/>
      <c r="C552" s="350"/>
      <c r="D552" s="295"/>
      <c r="E552" s="295"/>
      <c r="F552" s="295"/>
      <c r="G552" s="295"/>
      <c r="H552" s="295"/>
      <c r="I552" s="351"/>
      <c r="J552" s="295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  <c r="AA552" s="295"/>
      <c r="AB552" s="295"/>
      <c r="AC552" s="295"/>
    </row>
    <row r="553">
      <c r="A553" s="295"/>
      <c r="B553" s="350"/>
      <c r="C553" s="350"/>
      <c r="D553" s="295"/>
      <c r="E553" s="295"/>
      <c r="F553" s="295"/>
      <c r="G553" s="295"/>
      <c r="H553" s="295"/>
      <c r="I553" s="351"/>
      <c r="J553" s="295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  <c r="AA553" s="295"/>
      <c r="AB553" s="295"/>
      <c r="AC553" s="295"/>
    </row>
    <row r="554">
      <c r="A554" s="295"/>
      <c r="B554" s="350"/>
      <c r="C554" s="350"/>
      <c r="D554" s="295"/>
      <c r="E554" s="295"/>
      <c r="F554" s="295"/>
      <c r="G554" s="295"/>
      <c r="H554" s="295"/>
      <c r="I554" s="351"/>
      <c r="J554" s="295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  <c r="AA554" s="295"/>
      <c r="AB554" s="295"/>
      <c r="AC554" s="295"/>
    </row>
    <row r="555">
      <c r="A555" s="295"/>
      <c r="B555" s="350"/>
      <c r="C555" s="350"/>
      <c r="D555" s="295"/>
      <c r="E555" s="295"/>
      <c r="F555" s="295"/>
      <c r="G555" s="295"/>
      <c r="H555" s="295"/>
      <c r="I555" s="351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  <c r="AA555" s="295"/>
      <c r="AB555" s="295"/>
      <c r="AC555" s="295"/>
    </row>
    <row r="556">
      <c r="A556" s="295"/>
      <c r="B556" s="350"/>
      <c r="C556" s="350"/>
      <c r="D556" s="295"/>
      <c r="E556" s="295"/>
      <c r="F556" s="295"/>
      <c r="G556" s="295"/>
      <c r="H556" s="295"/>
      <c r="I556" s="351"/>
      <c r="J556" s="295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  <c r="AA556" s="295"/>
      <c r="AB556" s="295"/>
      <c r="AC556" s="295"/>
    </row>
    <row r="557">
      <c r="A557" s="295"/>
      <c r="B557" s="350"/>
      <c r="C557" s="350"/>
      <c r="D557" s="295"/>
      <c r="E557" s="295"/>
      <c r="F557" s="295"/>
      <c r="G557" s="295"/>
      <c r="H557" s="295"/>
      <c r="I557" s="351"/>
      <c r="J557" s="295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  <c r="AA557" s="295"/>
      <c r="AB557" s="295"/>
      <c r="AC557" s="295"/>
    </row>
    <row r="558">
      <c r="A558" s="295"/>
      <c r="B558" s="350"/>
      <c r="C558" s="350"/>
      <c r="D558" s="295"/>
      <c r="E558" s="295"/>
      <c r="F558" s="295"/>
      <c r="G558" s="295"/>
      <c r="H558" s="295"/>
      <c r="I558" s="351"/>
      <c r="J558" s="295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  <c r="AA558" s="295"/>
      <c r="AB558" s="295"/>
      <c r="AC558" s="295"/>
    </row>
    <row r="559">
      <c r="A559" s="295"/>
      <c r="B559" s="350"/>
      <c r="C559" s="350"/>
      <c r="D559" s="295"/>
      <c r="E559" s="295"/>
      <c r="F559" s="295"/>
      <c r="G559" s="295"/>
      <c r="H559" s="295"/>
      <c r="I559" s="351"/>
      <c r="J559" s="295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  <c r="AA559" s="295"/>
      <c r="AB559" s="295"/>
      <c r="AC559" s="295"/>
    </row>
    <row r="560">
      <c r="A560" s="295"/>
      <c r="B560" s="350"/>
      <c r="C560" s="350"/>
      <c r="D560" s="295"/>
      <c r="E560" s="295"/>
      <c r="F560" s="295"/>
      <c r="G560" s="295"/>
      <c r="H560" s="295"/>
      <c r="I560" s="351"/>
      <c r="J560" s="295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  <c r="AA560" s="295"/>
      <c r="AB560" s="295"/>
      <c r="AC560" s="295"/>
    </row>
    <row r="561">
      <c r="A561" s="295"/>
      <c r="B561" s="350"/>
      <c r="C561" s="350"/>
      <c r="D561" s="295"/>
      <c r="E561" s="295"/>
      <c r="F561" s="295"/>
      <c r="G561" s="295"/>
      <c r="H561" s="295"/>
      <c r="I561" s="351"/>
      <c r="J561" s="295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  <c r="AA561" s="295"/>
      <c r="AB561" s="295"/>
      <c r="AC561" s="295"/>
    </row>
    <row r="562">
      <c r="A562" s="295"/>
      <c r="B562" s="350"/>
      <c r="C562" s="350"/>
      <c r="D562" s="295"/>
      <c r="E562" s="295"/>
      <c r="F562" s="295"/>
      <c r="G562" s="295"/>
      <c r="H562" s="295"/>
      <c r="I562" s="351"/>
      <c r="J562" s="295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  <c r="AA562" s="295"/>
      <c r="AB562" s="295"/>
      <c r="AC562" s="295"/>
    </row>
    <row r="563">
      <c r="A563" s="295"/>
      <c r="B563" s="350"/>
      <c r="C563" s="350"/>
      <c r="D563" s="295"/>
      <c r="E563" s="295"/>
      <c r="F563" s="295"/>
      <c r="G563" s="295"/>
      <c r="H563" s="295"/>
      <c r="I563" s="351"/>
      <c r="J563" s="295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  <c r="AA563" s="295"/>
      <c r="AB563" s="295"/>
      <c r="AC563" s="295"/>
    </row>
    <row r="564">
      <c r="A564" s="295"/>
      <c r="B564" s="350"/>
      <c r="C564" s="350"/>
      <c r="D564" s="295"/>
      <c r="E564" s="295"/>
      <c r="F564" s="295"/>
      <c r="G564" s="295"/>
      <c r="H564" s="295"/>
      <c r="I564" s="351"/>
      <c r="J564" s="295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  <c r="AA564" s="295"/>
      <c r="AB564" s="295"/>
      <c r="AC564" s="295"/>
    </row>
    <row r="565">
      <c r="A565" s="295"/>
      <c r="B565" s="350"/>
      <c r="C565" s="350"/>
      <c r="D565" s="295"/>
      <c r="E565" s="295"/>
      <c r="F565" s="295"/>
      <c r="G565" s="295"/>
      <c r="H565" s="295"/>
      <c r="I565" s="351"/>
      <c r="J565" s="295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  <c r="AA565" s="295"/>
      <c r="AB565" s="295"/>
      <c r="AC565" s="295"/>
    </row>
    <row r="566">
      <c r="A566" s="295"/>
      <c r="B566" s="350"/>
      <c r="C566" s="350"/>
      <c r="D566" s="295"/>
      <c r="E566" s="295"/>
      <c r="F566" s="295"/>
      <c r="G566" s="295"/>
      <c r="H566" s="295"/>
      <c r="I566" s="351"/>
      <c r="J566" s="295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  <c r="AA566" s="295"/>
      <c r="AB566" s="295"/>
      <c r="AC566" s="295"/>
    </row>
    <row r="567">
      <c r="A567" s="295"/>
      <c r="B567" s="350"/>
      <c r="C567" s="350"/>
      <c r="D567" s="295"/>
      <c r="E567" s="295"/>
      <c r="F567" s="295"/>
      <c r="G567" s="295"/>
      <c r="H567" s="295"/>
      <c r="I567" s="351"/>
      <c r="J567" s="295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  <c r="AA567" s="295"/>
      <c r="AB567" s="295"/>
      <c r="AC567" s="295"/>
    </row>
    <row r="568">
      <c r="A568" s="295"/>
      <c r="B568" s="350"/>
      <c r="C568" s="350"/>
      <c r="D568" s="295"/>
      <c r="E568" s="295"/>
      <c r="F568" s="295"/>
      <c r="G568" s="295"/>
      <c r="H568" s="295"/>
      <c r="I568" s="351"/>
      <c r="J568" s="295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  <c r="AA568" s="295"/>
      <c r="AB568" s="295"/>
      <c r="AC568" s="295"/>
    </row>
    <row r="569">
      <c r="A569" s="295"/>
      <c r="B569" s="350"/>
      <c r="C569" s="350"/>
      <c r="D569" s="295"/>
      <c r="E569" s="295"/>
      <c r="F569" s="295"/>
      <c r="G569" s="295"/>
      <c r="H569" s="295"/>
      <c r="I569" s="351"/>
      <c r="J569" s="295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  <c r="AA569" s="295"/>
      <c r="AB569" s="295"/>
      <c r="AC569" s="295"/>
    </row>
    <row r="570">
      <c r="A570" s="295"/>
      <c r="B570" s="350"/>
      <c r="C570" s="350"/>
      <c r="D570" s="295"/>
      <c r="E570" s="295"/>
      <c r="F570" s="295"/>
      <c r="G570" s="295"/>
      <c r="H570" s="295"/>
      <c r="I570" s="351"/>
      <c r="J570" s="295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  <c r="AA570" s="295"/>
      <c r="AB570" s="295"/>
      <c r="AC570" s="295"/>
    </row>
    <row r="571">
      <c r="A571" s="295"/>
      <c r="B571" s="350"/>
      <c r="C571" s="350"/>
      <c r="D571" s="295"/>
      <c r="E571" s="295"/>
      <c r="F571" s="295"/>
      <c r="G571" s="295"/>
      <c r="H571" s="295"/>
      <c r="I571" s="351"/>
      <c r="J571" s="295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  <c r="AA571" s="295"/>
      <c r="AB571" s="295"/>
      <c r="AC571" s="295"/>
    </row>
    <row r="572">
      <c r="A572" s="295"/>
      <c r="B572" s="350"/>
      <c r="C572" s="350"/>
      <c r="D572" s="295"/>
      <c r="E572" s="295"/>
      <c r="F572" s="295"/>
      <c r="G572" s="295"/>
      <c r="H572" s="295"/>
      <c r="I572" s="351"/>
      <c r="J572" s="295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  <c r="AA572" s="295"/>
      <c r="AB572" s="295"/>
      <c r="AC572" s="295"/>
    </row>
    <row r="573">
      <c r="A573" s="295"/>
      <c r="B573" s="350"/>
      <c r="C573" s="350"/>
      <c r="D573" s="295"/>
      <c r="E573" s="295"/>
      <c r="F573" s="295"/>
      <c r="G573" s="295"/>
      <c r="H573" s="295"/>
      <c r="I573" s="351"/>
      <c r="J573" s="295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  <c r="AA573" s="295"/>
      <c r="AB573" s="295"/>
      <c r="AC573" s="295"/>
    </row>
    <row r="574">
      <c r="A574" s="295"/>
      <c r="B574" s="350"/>
      <c r="C574" s="350"/>
      <c r="D574" s="295"/>
      <c r="E574" s="295"/>
      <c r="F574" s="295"/>
      <c r="G574" s="295"/>
      <c r="H574" s="295"/>
      <c r="I574" s="351"/>
      <c r="J574" s="295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  <c r="AA574" s="295"/>
      <c r="AB574" s="295"/>
      <c r="AC574" s="295"/>
    </row>
    <row r="575">
      <c r="A575" s="295"/>
      <c r="B575" s="350"/>
      <c r="C575" s="350"/>
      <c r="D575" s="295"/>
      <c r="E575" s="295"/>
      <c r="F575" s="295"/>
      <c r="G575" s="295"/>
      <c r="H575" s="295"/>
      <c r="I575" s="351"/>
      <c r="J575" s="295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  <c r="AA575" s="295"/>
      <c r="AB575" s="295"/>
      <c r="AC575" s="295"/>
    </row>
    <row r="576">
      <c r="A576" s="295"/>
      <c r="B576" s="350"/>
      <c r="C576" s="350"/>
      <c r="D576" s="295"/>
      <c r="E576" s="295"/>
      <c r="F576" s="295"/>
      <c r="G576" s="295"/>
      <c r="H576" s="295"/>
      <c r="I576" s="351"/>
      <c r="J576" s="295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  <c r="AA576" s="295"/>
      <c r="AB576" s="295"/>
      <c r="AC576" s="295"/>
    </row>
    <row r="577">
      <c r="A577" s="295"/>
      <c r="B577" s="350"/>
      <c r="C577" s="350"/>
      <c r="D577" s="295"/>
      <c r="E577" s="295"/>
      <c r="F577" s="295"/>
      <c r="G577" s="295"/>
      <c r="H577" s="295"/>
      <c r="I577" s="351"/>
      <c r="J577" s="295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  <c r="AA577" s="295"/>
      <c r="AB577" s="295"/>
      <c r="AC577" s="295"/>
    </row>
    <row r="578">
      <c r="A578" s="295"/>
      <c r="B578" s="350"/>
      <c r="C578" s="350"/>
      <c r="D578" s="295"/>
      <c r="E578" s="295"/>
      <c r="F578" s="295"/>
      <c r="G578" s="295"/>
      <c r="H578" s="295"/>
      <c r="I578" s="351"/>
      <c r="J578" s="295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  <c r="AA578" s="295"/>
      <c r="AB578" s="295"/>
      <c r="AC578" s="295"/>
    </row>
    <row r="579">
      <c r="A579" s="295"/>
      <c r="B579" s="350"/>
      <c r="C579" s="350"/>
      <c r="D579" s="295"/>
      <c r="E579" s="295"/>
      <c r="F579" s="295"/>
      <c r="G579" s="295"/>
      <c r="H579" s="295"/>
      <c r="I579" s="351"/>
      <c r="J579" s="295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  <c r="AA579" s="295"/>
      <c r="AB579" s="295"/>
      <c r="AC579" s="295"/>
    </row>
    <row r="580">
      <c r="A580" s="295"/>
      <c r="B580" s="350"/>
      <c r="C580" s="350"/>
      <c r="D580" s="295"/>
      <c r="E580" s="295"/>
      <c r="F580" s="295"/>
      <c r="G580" s="295"/>
      <c r="H580" s="295"/>
      <c r="I580" s="351"/>
      <c r="J580" s="295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  <c r="AA580" s="295"/>
      <c r="AB580" s="295"/>
      <c r="AC580" s="295"/>
    </row>
    <row r="581">
      <c r="A581" s="295"/>
      <c r="B581" s="350"/>
      <c r="C581" s="350"/>
      <c r="D581" s="295"/>
      <c r="E581" s="295"/>
      <c r="F581" s="295"/>
      <c r="G581" s="295"/>
      <c r="H581" s="295"/>
      <c r="I581" s="351"/>
      <c r="J581" s="295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  <c r="AA581" s="295"/>
      <c r="AB581" s="295"/>
      <c r="AC581" s="295"/>
    </row>
    <row r="582">
      <c r="A582" s="295"/>
      <c r="B582" s="350"/>
      <c r="C582" s="350"/>
      <c r="D582" s="295"/>
      <c r="E582" s="295"/>
      <c r="F582" s="295"/>
      <c r="G582" s="295"/>
      <c r="H582" s="295"/>
      <c r="I582" s="351"/>
      <c r="J582" s="295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  <c r="AA582" s="295"/>
      <c r="AB582" s="295"/>
      <c r="AC582" s="295"/>
    </row>
    <row r="583">
      <c r="A583" s="295"/>
      <c r="B583" s="350"/>
      <c r="C583" s="350"/>
      <c r="D583" s="295"/>
      <c r="E583" s="295"/>
      <c r="F583" s="295"/>
      <c r="G583" s="295"/>
      <c r="H583" s="295"/>
      <c r="I583" s="351"/>
      <c r="J583" s="295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  <c r="AA583" s="295"/>
      <c r="AB583" s="295"/>
      <c r="AC583" s="295"/>
    </row>
    <row r="584">
      <c r="A584" s="295"/>
      <c r="B584" s="350"/>
      <c r="C584" s="350"/>
      <c r="D584" s="295"/>
      <c r="E584" s="295"/>
      <c r="F584" s="295"/>
      <c r="G584" s="295"/>
      <c r="H584" s="295"/>
      <c r="I584" s="351"/>
      <c r="J584" s="295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  <c r="AA584" s="295"/>
      <c r="AB584" s="295"/>
      <c r="AC584" s="295"/>
    </row>
    <row r="585">
      <c r="A585" s="295"/>
      <c r="B585" s="350"/>
      <c r="C585" s="350"/>
      <c r="D585" s="295"/>
      <c r="E585" s="295"/>
      <c r="F585" s="295"/>
      <c r="G585" s="295"/>
      <c r="H585" s="295"/>
      <c r="I585" s="351"/>
      <c r="J585" s="295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  <c r="AA585" s="295"/>
      <c r="AB585" s="295"/>
      <c r="AC585" s="295"/>
    </row>
    <row r="586">
      <c r="A586" s="295"/>
      <c r="B586" s="350"/>
      <c r="C586" s="350"/>
      <c r="D586" s="295"/>
      <c r="E586" s="295"/>
      <c r="F586" s="295"/>
      <c r="G586" s="295"/>
      <c r="H586" s="295"/>
      <c r="I586" s="351"/>
      <c r="J586" s="295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  <c r="AA586" s="295"/>
      <c r="AB586" s="295"/>
      <c r="AC586" s="295"/>
    </row>
    <row r="587">
      <c r="A587" s="295"/>
      <c r="B587" s="350"/>
      <c r="C587" s="350"/>
      <c r="D587" s="295"/>
      <c r="E587" s="295"/>
      <c r="F587" s="295"/>
      <c r="G587" s="295"/>
      <c r="H587" s="295"/>
      <c r="I587" s="351"/>
      <c r="J587" s="295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  <c r="AA587" s="295"/>
      <c r="AB587" s="295"/>
      <c r="AC587" s="295"/>
    </row>
    <row r="588">
      <c r="A588" s="295"/>
      <c r="B588" s="350"/>
      <c r="C588" s="350"/>
      <c r="D588" s="295"/>
      <c r="E588" s="295"/>
      <c r="F588" s="295"/>
      <c r="G588" s="295"/>
      <c r="H588" s="295"/>
      <c r="I588" s="351"/>
      <c r="J588" s="295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  <c r="AA588" s="295"/>
      <c r="AB588" s="295"/>
      <c r="AC588" s="295"/>
    </row>
    <row r="589">
      <c r="A589" s="295"/>
      <c r="B589" s="350"/>
      <c r="C589" s="350"/>
      <c r="D589" s="295"/>
      <c r="E589" s="295"/>
      <c r="F589" s="295"/>
      <c r="G589" s="295"/>
      <c r="H589" s="295"/>
      <c r="I589" s="351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295"/>
      <c r="AC589" s="295"/>
    </row>
    <row r="590">
      <c r="A590" s="295"/>
      <c r="B590" s="350"/>
      <c r="C590" s="350"/>
      <c r="D590" s="295"/>
      <c r="E590" s="295"/>
      <c r="F590" s="295"/>
      <c r="G590" s="295"/>
      <c r="H590" s="295"/>
      <c r="I590" s="351"/>
      <c r="J590" s="295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  <c r="AA590" s="295"/>
      <c r="AB590" s="295"/>
      <c r="AC590" s="295"/>
    </row>
    <row r="591">
      <c r="A591" s="295"/>
      <c r="B591" s="350"/>
      <c r="C591" s="350"/>
      <c r="D591" s="295"/>
      <c r="E591" s="295"/>
      <c r="F591" s="295"/>
      <c r="G591" s="295"/>
      <c r="H591" s="295"/>
      <c r="I591" s="351"/>
      <c r="J591" s="295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  <c r="AA591" s="295"/>
      <c r="AB591" s="295"/>
      <c r="AC591" s="295"/>
    </row>
    <row r="592">
      <c r="A592" s="295"/>
      <c r="B592" s="350"/>
      <c r="C592" s="350"/>
      <c r="D592" s="295"/>
      <c r="E592" s="295"/>
      <c r="F592" s="295"/>
      <c r="G592" s="295"/>
      <c r="H592" s="295"/>
      <c r="I592" s="351"/>
      <c r="J592" s="295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  <c r="AA592" s="295"/>
      <c r="AB592" s="295"/>
      <c r="AC592" s="295"/>
    </row>
    <row r="593">
      <c r="A593" s="295"/>
      <c r="B593" s="350"/>
      <c r="C593" s="350"/>
      <c r="D593" s="295"/>
      <c r="E593" s="295"/>
      <c r="F593" s="295"/>
      <c r="G593" s="295"/>
      <c r="H593" s="295"/>
      <c r="I593" s="351"/>
      <c r="J593" s="295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  <c r="AA593" s="295"/>
      <c r="AB593" s="295"/>
      <c r="AC593" s="295"/>
    </row>
    <row r="594">
      <c r="A594" s="295"/>
      <c r="B594" s="350"/>
      <c r="C594" s="350"/>
      <c r="D594" s="295"/>
      <c r="E594" s="295"/>
      <c r="F594" s="295"/>
      <c r="G594" s="295"/>
      <c r="H594" s="295"/>
      <c r="I594" s="351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  <c r="AA594" s="295"/>
      <c r="AB594" s="295"/>
      <c r="AC594" s="295"/>
    </row>
    <row r="595">
      <c r="A595" s="295"/>
      <c r="B595" s="350"/>
      <c r="C595" s="350"/>
      <c r="D595" s="295"/>
      <c r="E595" s="295"/>
      <c r="F595" s="295"/>
      <c r="G595" s="295"/>
      <c r="H595" s="295"/>
      <c r="I595" s="351"/>
      <c r="J595" s="295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  <c r="AA595" s="295"/>
      <c r="AB595" s="295"/>
      <c r="AC595" s="295"/>
    </row>
    <row r="596">
      <c r="A596" s="295"/>
      <c r="B596" s="350"/>
      <c r="C596" s="350"/>
      <c r="D596" s="295"/>
      <c r="E596" s="295"/>
      <c r="F596" s="295"/>
      <c r="G596" s="295"/>
      <c r="H596" s="295"/>
      <c r="I596" s="351"/>
      <c r="J596" s="295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  <c r="AA596" s="295"/>
      <c r="AB596" s="295"/>
      <c r="AC596" s="295"/>
    </row>
    <row r="597">
      <c r="A597" s="295"/>
      <c r="B597" s="350"/>
      <c r="C597" s="350"/>
      <c r="D597" s="295"/>
      <c r="E597" s="295"/>
      <c r="F597" s="295"/>
      <c r="G597" s="295"/>
      <c r="H597" s="295"/>
      <c r="I597" s="351"/>
      <c r="J597" s="295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  <c r="AA597" s="295"/>
      <c r="AB597" s="295"/>
      <c r="AC597" s="295"/>
    </row>
    <row r="598">
      <c r="A598" s="295"/>
      <c r="B598" s="350"/>
      <c r="C598" s="350"/>
      <c r="D598" s="295"/>
      <c r="E598" s="295"/>
      <c r="F598" s="295"/>
      <c r="G598" s="295"/>
      <c r="H598" s="295"/>
      <c r="I598" s="351"/>
      <c r="J598" s="295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  <c r="AA598" s="295"/>
      <c r="AB598" s="295"/>
      <c r="AC598" s="295"/>
    </row>
    <row r="599">
      <c r="A599" s="295"/>
      <c r="B599" s="350"/>
      <c r="C599" s="350"/>
      <c r="D599" s="295"/>
      <c r="E599" s="295"/>
      <c r="F599" s="295"/>
      <c r="G599" s="295"/>
      <c r="H599" s="295"/>
      <c r="I599" s="351"/>
      <c r="J599" s="295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  <c r="AA599" s="295"/>
      <c r="AB599" s="295"/>
      <c r="AC599" s="295"/>
    </row>
    <row r="600">
      <c r="A600" s="295"/>
      <c r="B600" s="350"/>
      <c r="C600" s="350"/>
      <c r="D600" s="295"/>
      <c r="E600" s="295"/>
      <c r="F600" s="295"/>
      <c r="G600" s="295"/>
      <c r="H600" s="295"/>
      <c r="I600" s="351"/>
      <c r="J600" s="295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  <c r="AA600" s="295"/>
      <c r="AB600" s="295"/>
      <c r="AC600" s="295"/>
    </row>
    <row r="601">
      <c r="A601" s="295"/>
      <c r="B601" s="350"/>
      <c r="C601" s="350"/>
      <c r="D601" s="295"/>
      <c r="E601" s="295"/>
      <c r="F601" s="295"/>
      <c r="G601" s="295"/>
      <c r="H601" s="295"/>
      <c r="I601" s="351"/>
      <c r="J601" s="295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  <c r="AA601" s="295"/>
      <c r="AB601" s="295"/>
      <c r="AC601" s="295"/>
    </row>
    <row r="602">
      <c r="A602" s="295"/>
      <c r="B602" s="350"/>
      <c r="C602" s="350"/>
      <c r="D602" s="295"/>
      <c r="E602" s="295"/>
      <c r="F602" s="295"/>
      <c r="G602" s="295"/>
      <c r="H602" s="295"/>
      <c r="I602" s="351"/>
      <c r="J602" s="295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  <c r="AA602" s="295"/>
      <c r="AB602" s="295"/>
      <c r="AC602" s="295"/>
    </row>
    <row r="603">
      <c r="A603" s="295"/>
      <c r="B603" s="350"/>
      <c r="C603" s="350"/>
      <c r="D603" s="295"/>
      <c r="E603" s="295"/>
      <c r="F603" s="295"/>
      <c r="G603" s="295"/>
      <c r="H603" s="295"/>
      <c r="I603" s="351"/>
      <c r="J603" s="295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  <c r="AA603" s="295"/>
      <c r="AB603" s="295"/>
      <c r="AC603" s="295"/>
    </row>
    <row r="604">
      <c r="A604" s="295"/>
      <c r="B604" s="350"/>
      <c r="C604" s="350"/>
      <c r="D604" s="295"/>
      <c r="E604" s="295"/>
      <c r="F604" s="295"/>
      <c r="G604" s="295"/>
      <c r="H604" s="295"/>
      <c r="I604" s="351"/>
      <c r="J604" s="295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  <c r="AA604" s="295"/>
      <c r="AB604" s="295"/>
      <c r="AC604" s="295"/>
    </row>
    <row r="605">
      <c r="A605" s="295"/>
      <c r="B605" s="350"/>
      <c r="C605" s="350"/>
      <c r="D605" s="295"/>
      <c r="E605" s="295"/>
      <c r="F605" s="295"/>
      <c r="G605" s="295"/>
      <c r="H605" s="295"/>
      <c r="I605" s="351"/>
      <c r="J605" s="295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  <c r="AA605" s="295"/>
      <c r="AB605" s="295"/>
      <c r="AC605" s="295"/>
    </row>
    <row r="606">
      <c r="A606" s="295"/>
      <c r="B606" s="350"/>
      <c r="C606" s="350"/>
      <c r="D606" s="295"/>
      <c r="E606" s="295"/>
      <c r="F606" s="295"/>
      <c r="G606" s="295"/>
      <c r="H606" s="295"/>
      <c r="I606" s="351"/>
      <c r="J606" s="295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  <c r="AA606" s="295"/>
      <c r="AB606" s="295"/>
      <c r="AC606" s="295"/>
    </row>
    <row r="607">
      <c r="A607" s="295"/>
      <c r="B607" s="350"/>
      <c r="C607" s="350"/>
      <c r="D607" s="295"/>
      <c r="E607" s="295"/>
      <c r="F607" s="295"/>
      <c r="G607" s="295"/>
      <c r="H607" s="295"/>
      <c r="I607" s="351"/>
      <c r="J607" s="295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  <c r="AA607" s="295"/>
      <c r="AB607" s="295"/>
      <c r="AC607" s="295"/>
    </row>
    <row r="608">
      <c r="A608" s="295"/>
      <c r="B608" s="350"/>
      <c r="C608" s="350"/>
      <c r="D608" s="295"/>
      <c r="E608" s="295"/>
      <c r="F608" s="295"/>
      <c r="G608" s="295"/>
      <c r="H608" s="295"/>
      <c r="I608" s="351"/>
      <c r="J608" s="295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  <c r="AA608" s="295"/>
      <c r="AB608" s="295"/>
      <c r="AC608" s="295"/>
    </row>
    <row r="609">
      <c r="A609" s="295"/>
      <c r="B609" s="350"/>
      <c r="C609" s="350"/>
      <c r="D609" s="295"/>
      <c r="E609" s="295"/>
      <c r="F609" s="295"/>
      <c r="G609" s="295"/>
      <c r="H609" s="295"/>
      <c r="I609" s="351"/>
      <c r="J609" s="295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  <c r="AA609" s="295"/>
      <c r="AB609" s="295"/>
      <c r="AC609" s="295"/>
    </row>
    <row r="610">
      <c r="A610" s="295"/>
      <c r="B610" s="350"/>
      <c r="C610" s="350"/>
      <c r="D610" s="295"/>
      <c r="E610" s="295"/>
      <c r="F610" s="295"/>
      <c r="G610" s="295"/>
      <c r="H610" s="295"/>
      <c r="I610" s="351"/>
      <c r="J610" s="295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  <c r="AA610" s="295"/>
      <c r="AB610" s="295"/>
      <c r="AC610" s="295"/>
    </row>
    <row r="611">
      <c r="A611" s="295"/>
      <c r="B611" s="350"/>
      <c r="C611" s="350"/>
      <c r="D611" s="295"/>
      <c r="E611" s="295"/>
      <c r="F611" s="295"/>
      <c r="G611" s="295"/>
      <c r="H611" s="295"/>
      <c r="I611" s="351"/>
      <c r="J611" s="295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  <c r="AA611" s="295"/>
      <c r="AB611" s="295"/>
      <c r="AC611" s="295"/>
    </row>
    <row r="612">
      <c r="A612" s="295"/>
      <c r="B612" s="350"/>
      <c r="C612" s="350"/>
      <c r="D612" s="295"/>
      <c r="E612" s="295"/>
      <c r="F612" s="295"/>
      <c r="G612" s="295"/>
      <c r="H612" s="295"/>
      <c r="I612" s="351"/>
      <c r="J612" s="295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  <c r="AA612" s="295"/>
      <c r="AB612" s="295"/>
      <c r="AC612" s="295"/>
    </row>
    <row r="613">
      <c r="A613" s="295"/>
      <c r="B613" s="350"/>
      <c r="C613" s="350"/>
      <c r="D613" s="295"/>
      <c r="E613" s="295"/>
      <c r="F613" s="295"/>
      <c r="G613" s="295"/>
      <c r="H613" s="295"/>
      <c r="I613" s="351"/>
      <c r="J613" s="295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  <c r="AA613" s="295"/>
      <c r="AB613" s="295"/>
      <c r="AC613" s="295"/>
    </row>
    <row r="614">
      <c r="A614" s="295"/>
      <c r="B614" s="350"/>
      <c r="C614" s="350"/>
      <c r="D614" s="295"/>
      <c r="E614" s="295"/>
      <c r="F614" s="295"/>
      <c r="G614" s="295"/>
      <c r="H614" s="295"/>
      <c r="I614" s="351"/>
      <c r="J614" s="295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  <c r="AA614" s="295"/>
      <c r="AB614" s="295"/>
      <c r="AC614" s="295"/>
    </row>
    <row r="615">
      <c r="A615" s="295"/>
      <c r="B615" s="350"/>
      <c r="C615" s="350"/>
      <c r="D615" s="295"/>
      <c r="E615" s="295"/>
      <c r="F615" s="295"/>
      <c r="G615" s="295"/>
      <c r="H615" s="295"/>
      <c r="I615" s="351"/>
      <c r="J615" s="295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  <c r="AA615" s="295"/>
      <c r="AB615" s="295"/>
      <c r="AC615" s="295"/>
    </row>
    <row r="616">
      <c r="A616" s="295"/>
      <c r="B616" s="350"/>
      <c r="C616" s="350"/>
      <c r="D616" s="295"/>
      <c r="E616" s="295"/>
      <c r="F616" s="295"/>
      <c r="G616" s="295"/>
      <c r="H616" s="295"/>
      <c r="I616" s="351"/>
      <c r="J616" s="295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  <c r="AA616" s="295"/>
      <c r="AB616" s="295"/>
      <c r="AC616" s="295"/>
    </row>
    <row r="617">
      <c r="A617" s="295"/>
      <c r="B617" s="350"/>
      <c r="C617" s="350"/>
      <c r="D617" s="295"/>
      <c r="E617" s="295"/>
      <c r="F617" s="295"/>
      <c r="G617" s="295"/>
      <c r="H617" s="295"/>
      <c r="I617" s="351"/>
      <c r="J617" s="295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  <c r="AA617" s="295"/>
      <c r="AB617" s="295"/>
      <c r="AC617" s="295"/>
    </row>
    <row r="618">
      <c r="A618" s="295"/>
      <c r="B618" s="350"/>
      <c r="C618" s="350"/>
      <c r="D618" s="295"/>
      <c r="E618" s="295"/>
      <c r="F618" s="295"/>
      <c r="G618" s="295"/>
      <c r="H618" s="295"/>
      <c r="I618" s="351"/>
      <c r="J618" s="295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  <c r="AA618" s="295"/>
      <c r="AB618" s="295"/>
      <c r="AC618" s="295"/>
    </row>
    <row r="619">
      <c r="A619" s="295"/>
      <c r="B619" s="350"/>
      <c r="C619" s="350"/>
      <c r="D619" s="295"/>
      <c r="E619" s="295"/>
      <c r="F619" s="295"/>
      <c r="G619" s="295"/>
      <c r="H619" s="295"/>
      <c r="I619" s="351"/>
      <c r="J619" s="295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  <c r="AA619" s="295"/>
      <c r="AB619" s="295"/>
      <c r="AC619" s="295"/>
    </row>
    <row r="620">
      <c r="A620" s="295"/>
      <c r="B620" s="350"/>
      <c r="C620" s="350"/>
      <c r="D620" s="295"/>
      <c r="E620" s="295"/>
      <c r="F620" s="295"/>
      <c r="G620" s="295"/>
      <c r="H620" s="295"/>
      <c r="I620" s="351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  <c r="AA620" s="295"/>
      <c r="AB620" s="295"/>
      <c r="AC620" s="295"/>
    </row>
    <row r="621">
      <c r="A621" s="295"/>
      <c r="B621" s="350"/>
      <c r="C621" s="350"/>
      <c r="D621" s="295"/>
      <c r="E621" s="295"/>
      <c r="F621" s="295"/>
      <c r="G621" s="295"/>
      <c r="H621" s="295"/>
      <c r="I621" s="351"/>
      <c r="J621" s="295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  <c r="AA621" s="295"/>
      <c r="AB621" s="295"/>
      <c r="AC621" s="295"/>
    </row>
    <row r="622">
      <c r="A622" s="295"/>
      <c r="B622" s="350"/>
      <c r="C622" s="350"/>
      <c r="D622" s="295"/>
      <c r="E622" s="295"/>
      <c r="F622" s="295"/>
      <c r="G622" s="295"/>
      <c r="H622" s="295"/>
      <c r="I622" s="351"/>
      <c r="J622" s="295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  <c r="AA622" s="295"/>
      <c r="AB622" s="295"/>
      <c r="AC622" s="295"/>
    </row>
    <row r="623">
      <c r="A623" s="295"/>
      <c r="B623" s="350"/>
      <c r="C623" s="350"/>
      <c r="D623" s="295"/>
      <c r="E623" s="295"/>
      <c r="F623" s="295"/>
      <c r="G623" s="295"/>
      <c r="H623" s="295"/>
      <c r="I623" s="351"/>
      <c r="J623" s="295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  <c r="AA623" s="295"/>
      <c r="AB623" s="295"/>
      <c r="AC623" s="295"/>
    </row>
    <row r="624">
      <c r="A624" s="295"/>
      <c r="B624" s="350"/>
      <c r="C624" s="350"/>
      <c r="D624" s="295"/>
      <c r="E624" s="295"/>
      <c r="F624" s="295"/>
      <c r="G624" s="295"/>
      <c r="H624" s="295"/>
      <c r="I624" s="351"/>
      <c r="J624" s="295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  <c r="AA624" s="295"/>
      <c r="AB624" s="295"/>
      <c r="AC624" s="295"/>
    </row>
    <row r="625">
      <c r="A625" s="295"/>
      <c r="B625" s="350"/>
      <c r="C625" s="350"/>
      <c r="D625" s="295"/>
      <c r="E625" s="295"/>
      <c r="F625" s="295"/>
      <c r="G625" s="295"/>
      <c r="H625" s="295"/>
      <c r="I625" s="351"/>
      <c r="J625" s="295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  <c r="AA625" s="295"/>
      <c r="AB625" s="295"/>
      <c r="AC625" s="295"/>
    </row>
    <row r="626">
      <c r="A626" s="295"/>
      <c r="B626" s="350"/>
      <c r="C626" s="350"/>
      <c r="D626" s="295"/>
      <c r="E626" s="295"/>
      <c r="F626" s="295"/>
      <c r="G626" s="295"/>
      <c r="H626" s="295"/>
      <c r="I626" s="351"/>
      <c r="J626" s="295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  <c r="AA626" s="295"/>
      <c r="AB626" s="295"/>
      <c r="AC626" s="295"/>
    </row>
    <row r="627">
      <c r="A627" s="295"/>
      <c r="B627" s="350"/>
      <c r="C627" s="350"/>
      <c r="D627" s="295"/>
      <c r="E627" s="295"/>
      <c r="F627" s="295"/>
      <c r="G627" s="295"/>
      <c r="H627" s="295"/>
      <c r="I627" s="351"/>
      <c r="J627" s="295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  <c r="AA627" s="295"/>
      <c r="AB627" s="295"/>
      <c r="AC627" s="295"/>
    </row>
    <row r="628">
      <c r="A628" s="295"/>
      <c r="B628" s="350"/>
      <c r="C628" s="350"/>
      <c r="D628" s="295"/>
      <c r="E628" s="295"/>
      <c r="F628" s="295"/>
      <c r="G628" s="295"/>
      <c r="H628" s="295"/>
      <c r="I628" s="351"/>
      <c r="J628" s="295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  <c r="AA628" s="295"/>
      <c r="AB628" s="295"/>
      <c r="AC628" s="295"/>
    </row>
    <row r="629">
      <c r="A629" s="295"/>
      <c r="B629" s="350"/>
      <c r="C629" s="350"/>
      <c r="D629" s="295"/>
      <c r="E629" s="295"/>
      <c r="F629" s="295"/>
      <c r="G629" s="295"/>
      <c r="H629" s="295"/>
      <c r="I629" s="351"/>
      <c r="J629" s="295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  <c r="AA629" s="295"/>
      <c r="AB629" s="295"/>
      <c r="AC629" s="295"/>
    </row>
    <row r="630">
      <c r="A630" s="295"/>
      <c r="B630" s="350"/>
      <c r="C630" s="350"/>
      <c r="D630" s="295"/>
      <c r="E630" s="295"/>
      <c r="F630" s="295"/>
      <c r="G630" s="295"/>
      <c r="H630" s="295"/>
      <c r="I630" s="351"/>
      <c r="J630" s="295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  <c r="AA630" s="295"/>
      <c r="AB630" s="295"/>
      <c r="AC630" s="295"/>
    </row>
    <row r="631">
      <c r="A631" s="295"/>
      <c r="B631" s="350"/>
      <c r="C631" s="350"/>
      <c r="D631" s="295"/>
      <c r="E631" s="295"/>
      <c r="F631" s="295"/>
      <c r="G631" s="295"/>
      <c r="H631" s="295"/>
      <c r="I631" s="351"/>
      <c r="J631" s="295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  <c r="AA631" s="295"/>
      <c r="AB631" s="295"/>
      <c r="AC631" s="295"/>
    </row>
    <row r="632">
      <c r="A632" s="295"/>
      <c r="B632" s="350"/>
      <c r="C632" s="350"/>
      <c r="D632" s="295"/>
      <c r="E632" s="295"/>
      <c r="F632" s="295"/>
      <c r="G632" s="295"/>
      <c r="H632" s="295"/>
      <c r="I632" s="351"/>
      <c r="J632" s="295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  <c r="AA632" s="295"/>
      <c r="AB632" s="295"/>
      <c r="AC632" s="295"/>
    </row>
    <row r="633">
      <c r="A633" s="295"/>
      <c r="B633" s="350"/>
      <c r="C633" s="350"/>
      <c r="D633" s="295"/>
      <c r="E633" s="295"/>
      <c r="F633" s="295"/>
      <c r="G633" s="295"/>
      <c r="H633" s="295"/>
      <c r="I633" s="351"/>
      <c r="J633" s="295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  <c r="AA633" s="295"/>
      <c r="AB633" s="295"/>
      <c r="AC633" s="295"/>
    </row>
    <row r="634">
      <c r="A634" s="295"/>
      <c r="B634" s="350"/>
      <c r="C634" s="350"/>
      <c r="D634" s="295"/>
      <c r="E634" s="295"/>
      <c r="F634" s="295"/>
      <c r="G634" s="295"/>
      <c r="H634" s="295"/>
      <c r="I634" s="351"/>
      <c r="J634" s="295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  <c r="AA634" s="295"/>
      <c r="AB634" s="295"/>
      <c r="AC634" s="295"/>
    </row>
    <row r="635">
      <c r="A635" s="295"/>
      <c r="B635" s="350"/>
      <c r="C635" s="350"/>
      <c r="D635" s="295"/>
      <c r="E635" s="295"/>
      <c r="F635" s="295"/>
      <c r="G635" s="295"/>
      <c r="H635" s="295"/>
      <c r="I635" s="351"/>
      <c r="J635" s="295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  <c r="AA635" s="295"/>
      <c r="AB635" s="295"/>
      <c r="AC635" s="295"/>
    </row>
    <row r="636">
      <c r="A636" s="295"/>
      <c r="B636" s="350"/>
      <c r="C636" s="350"/>
      <c r="D636" s="295"/>
      <c r="E636" s="295"/>
      <c r="F636" s="295"/>
      <c r="G636" s="295"/>
      <c r="H636" s="295"/>
      <c r="I636" s="351"/>
      <c r="J636" s="295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  <c r="AA636" s="295"/>
      <c r="AB636" s="295"/>
      <c r="AC636" s="295"/>
    </row>
    <row r="637">
      <c r="A637" s="295"/>
      <c r="B637" s="350"/>
      <c r="C637" s="350"/>
      <c r="D637" s="295"/>
      <c r="E637" s="295"/>
      <c r="F637" s="295"/>
      <c r="G637" s="295"/>
      <c r="H637" s="295"/>
      <c r="I637" s="351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  <c r="AA637" s="295"/>
      <c r="AB637" s="295"/>
      <c r="AC637" s="295"/>
    </row>
    <row r="638">
      <c r="A638" s="295"/>
      <c r="B638" s="350"/>
      <c r="C638" s="350"/>
      <c r="D638" s="295"/>
      <c r="E638" s="295"/>
      <c r="F638" s="295"/>
      <c r="G638" s="295"/>
      <c r="H638" s="295"/>
      <c r="I638" s="351"/>
      <c r="J638" s="295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  <c r="AA638" s="295"/>
      <c r="AB638" s="295"/>
      <c r="AC638" s="295"/>
    </row>
    <row r="639">
      <c r="A639" s="295"/>
      <c r="B639" s="350"/>
      <c r="C639" s="350"/>
      <c r="D639" s="295"/>
      <c r="E639" s="295"/>
      <c r="F639" s="295"/>
      <c r="G639" s="295"/>
      <c r="H639" s="295"/>
      <c r="I639" s="351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  <c r="AA639" s="295"/>
      <c r="AB639" s="295"/>
      <c r="AC639" s="295"/>
    </row>
    <row r="640">
      <c r="A640" s="295"/>
      <c r="B640" s="350"/>
      <c r="C640" s="350"/>
      <c r="D640" s="295"/>
      <c r="E640" s="295"/>
      <c r="F640" s="295"/>
      <c r="G640" s="295"/>
      <c r="H640" s="295"/>
      <c r="I640" s="351"/>
      <c r="J640" s="295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  <c r="AA640" s="295"/>
      <c r="AB640" s="295"/>
      <c r="AC640" s="295"/>
    </row>
    <row r="641">
      <c r="A641" s="295"/>
      <c r="B641" s="350"/>
      <c r="C641" s="350"/>
      <c r="D641" s="295"/>
      <c r="E641" s="295"/>
      <c r="F641" s="295"/>
      <c r="G641" s="295"/>
      <c r="H641" s="295"/>
      <c r="I641" s="351"/>
      <c r="J641" s="295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  <c r="AA641" s="295"/>
      <c r="AB641" s="295"/>
      <c r="AC641" s="295"/>
    </row>
    <row r="642">
      <c r="A642" s="295"/>
      <c r="B642" s="350"/>
      <c r="C642" s="350"/>
      <c r="D642" s="295"/>
      <c r="E642" s="295"/>
      <c r="F642" s="295"/>
      <c r="G642" s="295"/>
      <c r="H642" s="295"/>
      <c r="I642" s="351"/>
      <c r="J642" s="295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  <c r="AA642" s="295"/>
      <c r="AB642" s="295"/>
      <c r="AC642" s="295"/>
    </row>
    <row r="643">
      <c r="A643" s="295"/>
      <c r="B643" s="350"/>
      <c r="C643" s="350"/>
      <c r="D643" s="295"/>
      <c r="E643" s="295"/>
      <c r="F643" s="295"/>
      <c r="G643" s="295"/>
      <c r="H643" s="295"/>
      <c r="I643" s="351"/>
      <c r="J643" s="295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  <c r="AA643" s="295"/>
      <c r="AB643" s="295"/>
      <c r="AC643" s="295"/>
    </row>
    <row r="644">
      <c r="A644" s="295"/>
      <c r="B644" s="350"/>
      <c r="C644" s="350"/>
      <c r="D644" s="295"/>
      <c r="E644" s="295"/>
      <c r="F644" s="295"/>
      <c r="G644" s="295"/>
      <c r="H644" s="295"/>
      <c r="I644" s="351"/>
      <c r="J644" s="295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  <c r="AA644" s="295"/>
      <c r="AB644" s="295"/>
      <c r="AC644" s="295"/>
    </row>
    <row r="645">
      <c r="A645" s="295"/>
      <c r="B645" s="350"/>
      <c r="C645" s="350"/>
      <c r="D645" s="295"/>
      <c r="E645" s="295"/>
      <c r="F645" s="295"/>
      <c r="G645" s="295"/>
      <c r="H645" s="295"/>
      <c r="I645" s="351"/>
      <c r="J645" s="295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  <c r="AA645" s="295"/>
      <c r="AB645" s="295"/>
      <c r="AC645" s="295"/>
    </row>
    <row r="646">
      <c r="A646" s="295"/>
      <c r="B646" s="350"/>
      <c r="C646" s="350"/>
      <c r="D646" s="295"/>
      <c r="E646" s="295"/>
      <c r="F646" s="295"/>
      <c r="G646" s="295"/>
      <c r="H646" s="295"/>
      <c r="I646" s="351"/>
      <c r="J646" s="295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  <c r="AA646" s="295"/>
      <c r="AB646" s="295"/>
      <c r="AC646" s="295"/>
    </row>
    <row r="647">
      <c r="A647" s="295"/>
      <c r="B647" s="350"/>
      <c r="C647" s="350"/>
      <c r="D647" s="295"/>
      <c r="E647" s="295"/>
      <c r="F647" s="295"/>
      <c r="G647" s="295"/>
      <c r="H647" s="295"/>
      <c r="I647" s="351"/>
      <c r="J647" s="295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  <c r="AA647" s="295"/>
      <c r="AB647" s="295"/>
      <c r="AC647" s="295"/>
    </row>
    <row r="648">
      <c r="A648" s="295"/>
      <c r="B648" s="350"/>
      <c r="C648" s="350"/>
      <c r="D648" s="295"/>
      <c r="E648" s="295"/>
      <c r="F648" s="295"/>
      <c r="G648" s="295"/>
      <c r="H648" s="295"/>
      <c r="I648" s="351"/>
      <c r="J648" s="295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  <c r="AA648" s="295"/>
      <c r="AB648" s="295"/>
      <c r="AC648" s="295"/>
    </row>
    <row r="649">
      <c r="A649" s="295"/>
      <c r="B649" s="350"/>
      <c r="C649" s="350"/>
      <c r="D649" s="295"/>
      <c r="E649" s="295"/>
      <c r="F649" s="295"/>
      <c r="G649" s="295"/>
      <c r="H649" s="295"/>
      <c r="I649" s="351"/>
      <c r="J649" s="295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  <c r="AA649" s="295"/>
      <c r="AB649" s="295"/>
      <c r="AC649" s="295"/>
    </row>
    <row r="650">
      <c r="A650" s="295"/>
      <c r="B650" s="350"/>
      <c r="C650" s="350"/>
      <c r="D650" s="295"/>
      <c r="E650" s="295"/>
      <c r="F650" s="295"/>
      <c r="G650" s="295"/>
      <c r="H650" s="295"/>
      <c r="I650" s="351"/>
      <c r="J650" s="295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  <c r="AA650" s="295"/>
      <c r="AB650" s="295"/>
      <c r="AC650" s="295"/>
    </row>
    <row r="651">
      <c r="A651" s="295"/>
      <c r="B651" s="350"/>
      <c r="C651" s="350"/>
      <c r="D651" s="295"/>
      <c r="E651" s="295"/>
      <c r="F651" s="295"/>
      <c r="G651" s="295"/>
      <c r="H651" s="295"/>
      <c r="I651" s="351"/>
      <c r="J651" s="295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  <c r="AA651" s="295"/>
      <c r="AB651" s="295"/>
      <c r="AC651" s="295"/>
    </row>
    <row r="652">
      <c r="A652" s="295"/>
      <c r="B652" s="350"/>
      <c r="C652" s="350"/>
      <c r="D652" s="295"/>
      <c r="E652" s="295"/>
      <c r="F652" s="295"/>
      <c r="G652" s="295"/>
      <c r="H652" s="295"/>
      <c r="I652" s="351"/>
      <c r="J652" s="295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  <c r="AA652" s="295"/>
      <c r="AB652" s="295"/>
      <c r="AC652" s="295"/>
    </row>
    <row r="653">
      <c r="A653" s="295"/>
      <c r="B653" s="350"/>
      <c r="C653" s="350"/>
      <c r="D653" s="295"/>
      <c r="E653" s="295"/>
      <c r="F653" s="295"/>
      <c r="G653" s="295"/>
      <c r="H653" s="295"/>
      <c r="I653" s="351"/>
      <c r="J653" s="295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  <c r="AA653" s="295"/>
      <c r="AB653" s="295"/>
      <c r="AC653" s="295"/>
    </row>
    <row r="654">
      <c r="A654" s="295"/>
      <c r="B654" s="350"/>
      <c r="C654" s="350"/>
      <c r="D654" s="295"/>
      <c r="E654" s="295"/>
      <c r="F654" s="295"/>
      <c r="G654" s="295"/>
      <c r="H654" s="295"/>
      <c r="I654" s="351"/>
      <c r="J654" s="295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  <c r="AA654" s="295"/>
      <c r="AB654" s="295"/>
      <c r="AC654" s="295"/>
    </row>
    <row r="655">
      <c r="A655" s="295"/>
      <c r="B655" s="350"/>
      <c r="C655" s="350"/>
      <c r="D655" s="295"/>
      <c r="E655" s="295"/>
      <c r="F655" s="295"/>
      <c r="G655" s="295"/>
      <c r="H655" s="295"/>
      <c r="I655" s="351"/>
      <c r="J655" s="295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  <c r="AA655" s="295"/>
      <c r="AB655" s="295"/>
      <c r="AC655" s="295"/>
    </row>
    <row r="656">
      <c r="A656" s="295"/>
      <c r="B656" s="350"/>
      <c r="C656" s="350"/>
      <c r="D656" s="295"/>
      <c r="E656" s="295"/>
      <c r="F656" s="295"/>
      <c r="G656" s="295"/>
      <c r="H656" s="295"/>
      <c r="I656" s="351"/>
      <c r="J656" s="295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  <c r="AA656" s="295"/>
      <c r="AB656" s="295"/>
      <c r="AC656" s="295"/>
    </row>
    <row r="657">
      <c r="A657" s="295"/>
      <c r="B657" s="350"/>
      <c r="C657" s="350"/>
      <c r="D657" s="295"/>
      <c r="E657" s="295"/>
      <c r="F657" s="295"/>
      <c r="G657" s="295"/>
      <c r="H657" s="295"/>
      <c r="I657" s="351"/>
      <c r="J657" s="295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  <c r="AA657" s="295"/>
      <c r="AB657" s="295"/>
      <c r="AC657" s="295"/>
    </row>
    <row r="658">
      <c r="A658" s="295"/>
      <c r="B658" s="350"/>
      <c r="C658" s="350"/>
      <c r="D658" s="295"/>
      <c r="E658" s="295"/>
      <c r="F658" s="295"/>
      <c r="G658" s="295"/>
      <c r="H658" s="295"/>
      <c r="I658" s="351"/>
      <c r="J658" s="295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  <c r="AA658" s="295"/>
      <c r="AB658" s="295"/>
      <c r="AC658" s="295"/>
    </row>
    <row r="659">
      <c r="A659" s="295"/>
      <c r="B659" s="350"/>
      <c r="C659" s="350"/>
      <c r="D659" s="295"/>
      <c r="E659" s="295"/>
      <c r="F659" s="295"/>
      <c r="G659" s="295"/>
      <c r="H659" s="295"/>
      <c r="I659" s="351"/>
      <c r="J659" s="295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  <c r="AA659" s="295"/>
      <c r="AB659" s="295"/>
      <c r="AC659" s="295"/>
    </row>
    <row r="660">
      <c r="A660" s="295"/>
      <c r="B660" s="350"/>
      <c r="C660" s="350"/>
      <c r="D660" s="295"/>
      <c r="E660" s="295"/>
      <c r="F660" s="295"/>
      <c r="G660" s="295"/>
      <c r="H660" s="295"/>
      <c r="I660" s="351"/>
      <c r="J660" s="295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  <c r="AA660" s="295"/>
      <c r="AB660" s="295"/>
      <c r="AC660" s="295"/>
    </row>
    <row r="661">
      <c r="A661" s="295"/>
      <c r="B661" s="350"/>
      <c r="C661" s="350"/>
      <c r="D661" s="295"/>
      <c r="E661" s="295"/>
      <c r="F661" s="295"/>
      <c r="G661" s="295"/>
      <c r="H661" s="295"/>
      <c r="I661" s="351"/>
      <c r="J661" s="295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  <c r="AA661" s="295"/>
      <c r="AB661" s="295"/>
      <c r="AC661" s="295"/>
    </row>
    <row r="662">
      <c r="A662" s="295"/>
      <c r="B662" s="350"/>
      <c r="C662" s="350"/>
      <c r="D662" s="295"/>
      <c r="E662" s="295"/>
      <c r="F662" s="295"/>
      <c r="G662" s="295"/>
      <c r="H662" s="295"/>
      <c r="I662" s="351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295"/>
      <c r="AC662" s="295"/>
    </row>
    <row r="663">
      <c r="A663" s="295"/>
      <c r="B663" s="350"/>
      <c r="C663" s="350"/>
      <c r="D663" s="295"/>
      <c r="E663" s="295"/>
      <c r="F663" s="295"/>
      <c r="G663" s="295"/>
      <c r="H663" s="295"/>
      <c r="I663" s="351"/>
      <c r="J663" s="295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  <c r="AA663" s="295"/>
      <c r="AB663" s="295"/>
      <c r="AC663" s="295"/>
    </row>
    <row r="664">
      <c r="A664" s="295"/>
      <c r="B664" s="350"/>
      <c r="C664" s="350"/>
      <c r="D664" s="295"/>
      <c r="E664" s="295"/>
      <c r="F664" s="295"/>
      <c r="G664" s="295"/>
      <c r="H664" s="295"/>
      <c r="I664" s="351"/>
      <c r="J664" s="295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  <c r="AA664" s="295"/>
      <c r="AB664" s="295"/>
      <c r="AC664" s="295"/>
    </row>
    <row r="665">
      <c r="A665" s="295"/>
      <c r="B665" s="350"/>
      <c r="C665" s="350"/>
      <c r="D665" s="295"/>
      <c r="E665" s="295"/>
      <c r="F665" s="295"/>
      <c r="G665" s="295"/>
      <c r="H665" s="295"/>
      <c r="I665" s="351"/>
      <c r="J665" s="295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  <c r="AA665" s="295"/>
      <c r="AB665" s="295"/>
      <c r="AC665" s="295"/>
    </row>
    <row r="666">
      <c r="A666" s="295"/>
      <c r="B666" s="350"/>
      <c r="C666" s="350"/>
      <c r="D666" s="295"/>
      <c r="E666" s="295"/>
      <c r="F666" s="295"/>
      <c r="G666" s="295"/>
      <c r="H666" s="295"/>
      <c r="I666" s="351"/>
      <c r="J666" s="295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  <c r="AA666" s="295"/>
      <c r="AB666" s="295"/>
      <c r="AC666" s="295"/>
    </row>
    <row r="667">
      <c r="A667" s="295"/>
      <c r="B667" s="350"/>
      <c r="C667" s="350"/>
      <c r="D667" s="295"/>
      <c r="E667" s="295"/>
      <c r="F667" s="295"/>
      <c r="G667" s="295"/>
      <c r="H667" s="295"/>
      <c r="I667" s="351"/>
      <c r="J667" s="295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  <c r="AA667" s="295"/>
      <c r="AB667" s="295"/>
      <c r="AC667" s="295"/>
    </row>
    <row r="668">
      <c r="A668" s="295"/>
      <c r="B668" s="350"/>
      <c r="C668" s="350"/>
      <c r="D668" s="295"/>
      <c r="E668" s="295"/>
      <c r="F668" s="295"/>
      <c r="G668" s="295"/>
      <c r="H668" s="295"/>
      <c r="I668" s="351"/>
      <c r="J668" s="295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  <c r="AA668" s="295"/>
      <c r="AB668" s="295"/>
      <c r="AC668" s="295"/>
    </row>
    <row r="669">
      <c r="A669" s="295"/>
      <c r="B669" s="350"/>
      <c r="C669" s="350"/>
      <c r="D669" s="295"/>
      <c r="E669" s="295"/>
      <c r="F669" s="295"/>
      <c r="G669" s="295"/>
      <c r="H669" s="295"/>
      <c r="I669" s="351"/>
      <c r="J669" s="295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  <c r="AA669" s="295"/>
      <c r="AB669" s="295"/>
      <c r="AC669" s="295"/>
    </row>
    <row r="670">
      <c r="A670" s="295"/>
      <c r="B670" s="350"/>
      <c r="C670" s="350"/>
      <c r="D670" s="295"/>
      <c r="E670" s="295"/>
      <c r="F670" s="295"/>
      <c r="G670" s="295"/>
      <c r="H670" s="295"/>
      <c r="I670" s="351"/>
      <c r="J670" s="295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  <c r="AA670" s="295"/>
      <c r="AB670" s="295"/>
      <c r="AC670" s="295"/>
    </row>
    <row r="671">
      <c r="A671" s="295"/>
      <c r="B671" s="350"/>
      <c r="C671" s="350"/>
      <c r="D671" s="295"/>
      <c r="E671" s="295"/>
      <c r="F671" s="295"/>
      <c r="G671" s="295"/>
      <c r="H671" s="295"/>
      <c r="I671" s="351"/>
      <c r="J671" s="295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  <c r="AA671" s="295"/>
      <c r="AB671" s="295"/>
      <c r="AC671" s="295"/>
    </row>
    <row r="672">
      <c r="A672" s="295"/>
      <c r="B672" s="350"/>
      <c r="C672" s="350"/>
      <c r="D672" s="295"/>
      <c r="E672" s="295"/>
      <c r="F672" s="295"/>
      <c r="G672" s="295"/>
      <c r="H672" s="295"/>
      <c r="I672" s="351"/>
      <c r="J672" s="295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  <c r="AA672" s="295"/>
      <c r="AB672" s="295"/>
      <c r="AC672" s="295"/>
    </row>
    <row r="673">
      <c r="A673" s="295"/>
      <c r="B673" s="350"/>
      <c r="C673" s="350"/>
      <c r="D673" s="295"/>
      <c r="E673" s="295"/>
      <c r="F673" s="295"/>
      <c r="G673" s="295"/>
      <c r="H673" s="295"/>
      <c r="I673" s="351"/>
      <c r="J673" s="295"/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  <c r="AA673" s="295"/>
      <c r="AB673" s="295"/>
      <c r="AC673" s="295"/>
    </row>
    <row r="674">
      <c r="A674" s="295"/>
      <c r="B674" s="350"/>
      <c r="C674" s="350"/>
      <c r="D674" s="295"/>
      <c r="E674" s="295"/>
      <c r="F674" s="295"/>
      <c r="G674" s="295"/>
      <c r="H674" s="295"/>
      <c r="I674" s="351"/>
      <c r="J674" s="295"/>
      <c r="K674" s="295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95"/>
      <c r="Y674" s="295"/>
      <c r="Z674" s="295"/>
      <c r="AA674" s="295"/>
      <c r="AB674" s="295"/>
      <c r="AC674" s="295"/>
    </row>
    <row r="675">
      <c r="A675" s="295"/>
      <c r="B675" s="350"/>
      <c r="C675" s="350"/>
      <c r="D675" s="295"/>
      <c r="E675" s="295"/>
      <c r="F675" s="295"/>
      <c r="G675" s="295"/>
      <c r="H675" s="295"/>
      <c r="I675" s="351"/>
      <c r="J675" s="295"/>
      <c r="K675" s="295"/>
      <c r="L675" s="295"/>
      <c r="M675" s="295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  <c r="X675" s="295"/>
      <c r="Y675" s="295"/>
      <c r="Z675" s="295"/>
      <c r="AA675" s="295"/>
      <c r="AB675" s="295"/>
      <c r="AC675" s="295"/>
    </row>
    <row r="676">
      <c r="A676" s="295"/>
      <c r="B676" s="350"/>
      <c r="C676" s="350"/>
      <c r="D676" s="295"/>
      <c r="E676" s="295"/>
      <c r="F676" s="295"/>
      <c r="G676" s="295"/>
      <c r="H676" s="295"/>
      <c r="I676" s="351"/>
      <c r="J676" s="295"/>
      <c r="K676" s="295"/>
      <c r="L676" s="295"/>
      <c r="M676" s="295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  <c r="X676" s="295"/>
      <c r="Y676" s="295"/>
      <c r="Z676" s="295"/>
      <c r="AA676" s="295"/>
      <c r="AB676" s="295"/>
      <c r="AC676" s="295"/>
    </row>
    <row r="677">
      <c r="A677" s="295"/>
      <c r="B677" s="350"/>
      <c r="C677" s="350"/>
      <c r="D677" s="295"/>
      <c r="E677" s="295"/>
      <c r="F677" s="295"/>
      <c r="G677" s="295"/>
      <c r="H677" s="295"/>
      <c r="I677" s="351"/>
      <c r="J677" s="295"/>
      <c r="K677" s="295"/>
      <c r="L677" s="295"/>
      <c r="M677" s="295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  <c r="X677" s="295"/>
      <c r="Y677" s="295"/>
      <c r="Z677" s="295"/>
      <c r="AA677" s="295"/>
      <c r="AB677" s="295"/>
      <c r="AC677" s="295"/>
    </row>
    <row r="678">
      <c r="A678" s="295"/>
      <c r="B678" s="350"/>
      <c r="C678" s="350"/>
      <c r="D678" s="295"/>
      <c r="E678" s="295"/>
      <c r="F678" s="295"/>
      <c r="G678" s="295"/>
      <c r="H678" s="295"/>
      <c r="I678" s="351"/>
      <c r="J678" s="295"/>
      <c r="K678" s="295"/>
      <c r="L678" s="295"/>
      <c r="M678" s="295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  <c r="X678" s="295"/>
      <c r="Y678" s="295"/>
      <c r="Z678" s="295"/>
      <c r="AA678" s="295"/>
      <c r="AB678" s="295"/>
      <c r="AC678" s="295"/>
    </row>
    <row r="679">
      <c r="A679" s="295"/>
      <c r="B679" s="350"/>
      <c r="C679" s="350"/>
      <c r="D679" s="295"/>
      <c r="E679" s="295"/>
      <c r="F679" s="295"/>
      <c r="G679" s="295"/>
      <c r="H679" s="295"/>
      <c r="I679" s="351"/>
      <c r="J679" s="295"/>
      <c r="K679" s="295"/>
      <c r="L679" s="295"/>
      <c r="M679" s="295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  <c r="X679" s="295"/>
      <c r="Y679" s="295"/>
      <c r="Z679" s="295"/>
      <c r="AA679" s="295"/>
      <c r="AB679" s="295"/>
      <c r="AC679" s="295"/>
    </row>
    <row r="680">
      <c r="A680" s="295"/>
      <c r="B680" s="350"/>
      <c r="C680" s="350"/>
      <c r="D680" s="295"/>
      <c r="E680" s="295"/>
      <c r="F680" s="295"/>
      <c r="G680" s="295"/>
      <c r="H680" s="295"/>
      <c r="I680" s="351"/>
      <c r="J680" s="295"/>
      <c r="K680" s="295"/>
      <c r="L680" s="295"/>
      <c r="M680" s="295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  <c r="X680" s="295"/>
      <c r="Y680" s="295"/>
      <c r="Z680" s="295"/>
      <c r="AA680" s="295"/>
      <c r="AB680" s="295"/>
      <c r="AC680" s="295"/>
    </row>
    <row r="681">
      <c r="A681" s="295"/>
      <c r="B681" s="350"/>
      <c r="C681" s="350"/>
      <c r="D681" s="295"/>
      <c r="E681" s="295"/>
      <c r="F681" s="295"/>
      <c r="G681" s="295"/>
      <c r="H681" s="295"/>
      <c r="I681" s="351"/>
      <c r="J681" s="295"/>
      <c r="K681" s="295"/>
      <c r="L681" s="295"/>
      <c r="M681" s="295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  <c r="X681" s="295"/>
      <c r="Y681" s="295"/>
      <c r="Z681" s="295"/>
      <c r="AA681" s="295"/>
      <c r="AB681" s="295"/>
      <c r="AC681" s="295"/>
    </row>
    <row r="682">
      <c r="A682" s="295"/>
      <c r="B682" s="350"/>
      <c r="C682" s="350"/>
      <c r="D682" s="295"/>
      <c r="E682" s="295"/>
      <c r="F682" s="295"/>
      <c r="G682" s="295"/>
      <c r="H682" s="295"/>
      <c r="I682" s="351"/>
      <c r="J682" s="295"/>
      <c r="K682" s="295"/>
      <c r="L682" s="295"/>
      <c r="M682" s="295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  <c r="X682" s="295"/>
      <c r="Y682" s="295"/>
      <c r="Z682" s="295"/>
      <c r="AA682" s="295"/>
      <c r="AB682" s="295"/>
      <c r="AC682" s="295"/>
    </row>
    <row r="683">
      <c r="A683" s="295"/>
      <c r="B683" s="350"/>
      <c r="C683" s="350"/>
      <c r="D683" s="295"/>
      <c r="E683" s="295"/>
      <c r="F683" s="295"/>
      <c r="G683" s="295"/>
      <c r="H683" s="295"/>
      <c r="I683" s="351"/>
      <c r="J683" s="295"/>
      <c r="K683" s="295"/>
      <c r="L683" s="295"/>
      <c r="M683" s="295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  <c r="X683" s="295"/>
      <c r="Y683" s="295"/>
      <c r="Z683" s="295"/>
      <c r="AA683" s="295"/>
      <c r="AB683" s="295"/>
      <c r="AC683" s="295"/>
    </row>
    <row r="684">
      <c r="A684" s="295"/>
      <c r="B684" s="350"/>
      <c r="C684" s="350"/>
      <c r="D684" s="295"/>
      <c r="E684" s="295"/>
      <c r="F684" s="295"/>
      <c r="G684" s="295"/>
      <c r="H684" s="295"/>
      <c r="I684" s="351"/>
      <c r="J684" s="295"/>
      <c r="K684" s="295"/>
      <c r="L684" s="295"/>
      <c r="M684" s="295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  <c r="X684" s="295"/>
      <c r="Y684" s="295"/>
      <c r="Z684" s="295"/>
      <c r="AA684" s="295"/>
      <c r="AB684" s="295"/>
      <c r="AC684" s="295"/>
    </row>
    <row r="685">
      <c r="A685" s="295"/>
      <c r="B685" s="350"/>
      <c r="C685" s="350"/>
      <c r="D685" s="295"/>
      <c r="E685" s="295"/>
      <c r="F685" s="295"/>
      <c r="G685" s="295"/>
      <c r="H685" s="295"/>
      <c r="I685" s="351"/>
      <c r="J685" s="295"/>
      <c r="K685" s="295"/>
      <c r="L685" s="295"/>
      <c r="M685" s="295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  <c r="X685" s="295"/>
      <c r="Y685" s="295"/>
      <c r="Z685" s="295"/>
      <c r="AA685" s="295"/>
      <c r="AB685" s="295"/>
      <c r="AC685" s="295"/>
    </row>
    <row r="686">
      <c r="A686" s="295"/>
      <c r="B686" s="350"/>
      <c r="C686" s="350"/>
      <c r="D686" s="295"/>
      <c r="E686" s="295"/>
      <c r="F686" s="295"/>
      <c r="G686" s="295"/>
      <c r="H686" s="295"/>
      <c r="I686" s="351"/>
      <c r="J686" s="295"/>
      <c r="K686" s="295"/>
      <c r="L686" s="295"/>
      <c r="M686" s="295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  <c r="X686" s="295"/>
      <c r="Y686" s="295"/>
      <c r="Z686" s="295"/>
      <c r="AA686" s="295"/>
      <c r="AB686" s="295"/>
      <c r="AC686" s="295"/>
    </row>
    <row r="687">
      <c r="A687" s="295"/>
      <c r="B687" s="350"/>
      <c r="C687" s="350"/>
      <c r="D687" s="295"/>
      <c r="E687" s="295"/>
      <c r="F687" s="295"/>
      <c r="G687" s="295"/>
      <c r="H687" s="295"/>
      <c r="I687" s="351"/>
      <c r="J687" s="295"/>
      <c r="K687" s="295"/>
      <c r="L687" s="295"/>
      <c r="M687" s="295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  <c r="X687" s="295"/>
      <c r="Y687" s="295"/>
      <c r="Z687" s="295"/>
      <c r="AA687" s="295"/>
      <c r="AB687" s="295"/>
      <c r="AC687" s="295"/>
    </row>
    <row r="688">
      <c r="A688" s="295"/>
      <c r="B688" s="350"/>
      <c r="C688" s="350"/>
      <c r="D688" s="295"/>
      <c r="E688" s="295"/>
      <c r="F688" s="295"/>
      <c r="G688" s="295"/>
      <c r="H688" s="295"/>
      <c r="I688" s="351"/>
      <c r="J688" s="295"/>
      <c r="K688" s="295"/>
      <c r="L688" s="295"/>
      <c r="M688" s="295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  <c r="X688" s="295"/>
      <c r="Y688" s="295"/>
      <c r="Z688" s="295"/>
      <c r="AA688" s="295"/>
      <c r="AB688" s="295"/>
      <c r="AC688" s="295"/>
    </row>
    <row r="689">
      <c r="A689" s="295"/>
      <c r="B689" s="350"/>
      <c r="C689" s="350"/>
      <c r="D689" s="295"/>
      <c r="E689" s="295"/>
      <c r="F689" s="295"/>
      <c r="G689" s="295"/>
      <c r="H689" s="295"/>
      <c r="I689" s="351"/>
      <c r="J689" s="295"/>
      <c r="K689" s="295"/>
      <c r="L689" s="295"/>
      <c r="M689" s="295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  <c r="X689" s="295"/>
      <c r="Y689" s="295"/>
      <c r="Z689" s="295"/>
      <c r="AA689" s="295"/>
      <c r="AB689" s="295"/>
      <c r="AC689" s="295"/>
    </row>
    <row r="690">
      <c r="A690" s="295"/>
      <c r="B690" s="350"/>
      <c r="C690" s="350"/>
      <c r="D690" s="295"/>
      <c r="E690" s="295"/>
      <c r="F690" s="295"/>
      <c r="G690" s="295"/>
      <c r="H690" s="295"/>
      <c r="I690" s="351"/>
      <c r="J690" s="295"/>
      <c r="K690" s="295"/>
      <c r="L690" s="295"/>
      <c r="M690" s="295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  <c r="X690" s="295"/>
      <c r="Y690" s="295"/>
      <c r="Z690" s="295"/>
      <c r="AA690" s="295"/>
      <c r="AB690" s="295"/>
      <c r="AC690" s="295"/>
    </row>
    <row r="691">
      <c r="A691" s="295"/>
      <c r="B691" s="350"/>
      <c r="C691" s="350"/>
      <c r="D691" s="295"/>
      <c r="E691" s="295"/>
      <c r="F691" s="295"/>
      <c r="G691" s="295"/>
      <c r="H691" s="295"/>
      <c r="I691" s="351"/>
      <c r="J691" s="295"/>
      <c r="K691" s="295"/>
      <c r="L691" s="295"/>
      <c r="M691" s="295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  <c r="X691" s="295"/>
      <c r="Y691" s="295"/>
      <c r="Z691" s="295"/>
      <c r="AA691" s="295"/>
      <c r="AB691" s="295"/>
      <c r="AC691" s="295"/>
    </row>
    <row r="692">
      <c r="A692" s="295"/>
      <c r="B692" s="350"/>
      <c r="C692" s="350"/>
      <c r="D692" s="295"/>
      <c r="E692" s="295"/>
      <c r="F692" s="295"/>
      <c r="G692" s="295"/>
      <c r="H692" s="295"/>
      <c r="I692" s="351"/>
      <c r="J692" s="295"/>
      <c r="K692" s="295"/>
      <c r="L692" s="295"/>
      <c r="M692" s="295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  <c r="X692" s="295"/>
      <c r="Y692" s="295"/>
      <c r="Z692" s="295"/>
      <c r="AA692" s="295"/>
      <c r="AB692" s="295"/>
      <c r="AC692" s="295"/>
    </row>
    <row r="693">
      <c r="A693" s="295"/>
      <c r="B693" s="350"/>
      <c r="C693" s="350"/>
      <c r="D693" s="295"/>
      <c r="E693" s="295"/>
      <c r="F693" s="295"/>
      <c r="G693" s="295"/>
      <c r="H693" s="295"/>
      <c r="I693" s="351"/>
      <c r="J693" s="295"/>
      <c r="K693" s="295"/>
      <c r="L693" s="295"/>
      <c r="M693" s="295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  <c r="X693" s="295"/>
      <c r="Y693" s="295"/>
      <c r="Z693" s="295"/>
      <c r="AA693" s="295"/>
      <c r="AB693" s="295"/>
      <c r="AC693" s="295"/>
    </row>
    <row r="694">
      <c r="A694" s="295"/>
      <c r="B694" s="350"/>
      <c r="C694" s="350"/>
      <c r="D694" s="295"/>
      <c r="E694" s="295"/>
      <c r="F694" s="295"/>
      <c r="G694" s="295"/>
      <c r="H694" s="295"/>
      <c r="I694" s="351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295"/>
      <c r="Z694" s="295"/>
      <c r="AA694" s="295"/>
      <c r="AB694" s="295"/>
      <c r="AC694" s="295"/>
    </row>
    <row r="695">
      <c r="A695" s="295"/>
      <c r="B695" s="350"/>
      <c r="C695" s="350"/>
      <c r="D695" s="295"/>
      <c r="E695" s="295"/>
      <c r="F695" s="295"/>
      <c r="G695" s="295"/>
      <c r="H695" s="295"/>
      <c r="I695" s="351"/>
      <c r="J695" s="295"/>
      <c r="K695" s="295"/>
      <c r="L695" s="295"/>
      <c r="M695" s="295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  <c r="X695" s="295"/>
      <c r="Y695" s="295"/>
      <c r="Z695" s="295"/>
      <c r="AA695" s="295"/>
      <c r="AB695" s="295"/>
      <c r="AC695" s="295"/>
    </row>
    <row r="696">
      <c r="A696" s="295"/>
      <c r="B696" s="350"/>
      <c r="C696" s="350"/>
      <c r="D696" s="295"/>
      <c r="E696" s="295"/>
      <c r="F696" s="295"/>
      <c r="G696" s="295"/>
      <c r="H696" s="295"/>
      <c r="I696" s="351"/>
      <c r="J696" s="295"/>
      <c r="K696" s="295"/>
      <c r="L696" s="295"/>
      <c r="M696" s="295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  <c r="X696" s="295"/>
      <c r="Y696" s="295"/>
      <c r="Z696" s="295"/>
      <c r="AA696" s="295"/>
      <c r="AB696" s="295"/>
      <c r="AC696" s="295"/>
    </row>
    <row r="697">
      <c r="A697" s="295"/>
      <c r="B697" s="350"/>
      <c r="C697" s="350"/>
      <c r="D697" s="295"/>
      <c r="E697" s="295"/>
      <c r="F697" s="295"/>
      <c r="G697" s="295"/>
      <c r="H697" s="295"/>
      <c r="I697" s="351"/>
      <c r="J697" s="295"/>
      <c r="K697" s="295"/>
      <c r="L697" s="295"/>
      <c r="M697" s="295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  <c r="X697" s="295"/>
      <c r="Y697" s="295"/>
      <c r="Z697" s="295"/>
      <c r="AA697" s="295"/>
      <c r="AB697" s="295"/>
      <c r="AC697" s="295"/>
    </row>
    <row r="698">
      <c r="A698" s="295"/>
      <c r="B698" s="350"/>
      <c r="C698" s="350"/>
      <c r="D698" s="295"/>
      <c r="E698" s="295"/>
      <c r="F698" s="295"/>
      <c r="G698" s="295"/>
      <c r="H698" s="295"/>
      <c r="I698" s="351"/>
      <c r="J698" s="295"/>
      <c r="K698" s="295"/>
      <c r="L698" s="295"/>
      <c r="M698" s="295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  <c r="X698" s="295"/>
      <c r="Y698" s="295"/>
      <c r="Z698" s="295"/>
      <c r="AA698" s="295"/>
      <c r="AB698" s="295"/>
      <c r="AC698" s="295"/>
    </row>
    <row r="699">
      <c r="A699" s="295"/>
      <c r="B699" s="350"/>
      <c r="C699" s="350"/>
      <c r="D699" s="295"/>
      <c r="E699" s="295"/>
      <c r="F699" s="295"/>
      <c r="G699" s="295"/>
      <c r="H699" s="295"/>
      <c r="I699" s="351"/>
      <c r="J699" s="295"/>
      <c r="K699" s="295"/>
      <c r="L699" s="295"/>
      <c r="M699" s="295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  <c r="X699" s="295"/>
      <c r="Y699" s="295"/>
      <c r="Z699" s="295"/>
      <c r="AA699" s="295"/>
      <c r="AB699" s="295"/>
      <c r="AC699" s="295"/>
    </row>
    <row r="700">
      <c r="A700" s="295"/>
      <c r="B700" s="350"/>
      <c r="C700" s="350"/>
      <c r="D700" s="295"/>
      <c r="E700" s="295"/>
      <c r="F700" s="295"/>
      <c r="G700" s="295"/>
      <c r="H700" s="295"/>
      <c r="I700" s="351"/>
      <c r="J700" s="295"/>
      <c r="K700" s="295"/>
      <c r="L700" s="295"/>
      <c r="M700" s="295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  <c r="X700" s="295"/>
      <c r="Y700" s="295"/>
      <c r="Z700" s="295"/>
      <c r="AA700" s="295"/>
      <c r="AB700" s="295"/>
      <c r="AC700" s="295"/>
    </row>
    <row r="701">
      <c r="A701" s="295"/>
      <c r="B701" s="350"/>
      <c r="C701" s="350"/>
      <c r="D701" s="295"/>
      <c r="E701" s="295"/>
      <c r="F701" s="295"/>
      <c r="G701" s="295"/>
      <c r="H701" s="295"/>
      <c r="I701" s="351"/>
      <c r="J701" s="295"/>
      <c r="K701" s="295"/>
      <c r="L701" s="295"/>
      <c r="M701" s="295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  <c r="X701" s="295"/>
      <c r="Y701" s="295"/>
      <c r="Z701" s="295"/>
      <c r="AA701" s="295"/>
      <c r="AB701" s="295"/>
      <c r="AC701" s="295"/>
    </row>
    <row r="702">
      <c r="A702" s="295"/>
      <c r="B702" s="350"/>
      <c r="C702" s="350"/>
      <c r="D702" s="295"/>
      <c r="E702" s="295"/>
      <c r="F702" s="295"/>
      <c r="G702" s="295"/>
      <c r="H702" s="295"/>
      <c r="I702" s="351"/>
      <c r="J702" s="295"/>
      <c r="K702" s="295"/>
      <c r="L702" s="295"/>
      <c r="M702" s="295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  <c r="X702" s="295"/>
      <c r="Y702" s="295"/>
      <c r="Z702" s="295"/>
      <c r="AA702" s="295"/>
      <c r="AB702" s="295"/>
      <c r="AC702" s="295"/>
    </row>
    <row r="703">
      <c r="A703" s="295"/>
      <c r="B703" s="350"/>
      <c r="C703" s="350"/>
      <c r="D703" s="295"/>
      <c r="E703" s="295"/>
      <c r="F703" s="295"/>
      <c r="G703" s="295"/>
      <c r="H703" s="295"/>
      <c r="I703" s="351"/>
      <c r="J703" s="295"/>
      <c r="K703" s="295"/>
      <c r="L703" s="295"/>
      <c r="M703" s="295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  <c r="X703" s="295"/>
      <c r="Y703" s="295"/>
      <c r="Z703" s="295"/>
      <c r="AA703" s="295"/>
      <c r="AB703" s="295"/>
      <c r="AC703" s="295"/>
    </row>
    <row r="704">
      <c r="A704" s="295"/>
      <c r="B704" s="350"/>
      <c r="C704" s="350"/>
      <c r="D704" s="295"/>
      <c r="E704" s="295"/>
      <c r="F704" s="295"/>
      <c r="G704" s="295"/>
      <c r="H704" s="295"/>
      <c r="I704" s="351"/>
      <c r="J704" s="295"/>
      <c r="K704" s="295"/>
      <c r="L704" s="295"/>
      <c r="M704" s="295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  <c r="X704" s="295"/>
      <c r="Y704" s="295"/>
      <c r="Z704" s="295"/>
      <c r="AA704" s="295"/>
      <c r="AB704" s="295"/>
      <c r="AC704" s="295"/>
    </row>
    <row r="705">
      <c r="A705" s="295"/>
      <c r="B705" s="350"/>
      <c r="C705" s="350"/>
      <c r="D705" s="295"/>
      <c r="E705" s="295"/>
      <c r="F705" s="295"/>
      <c r="G705" s="295"/>
      <c r="H705" s="295"/>
      <c r="I705" s="351"/>
      <c r="J705" s="295"/>
      <c r="K705" s="295"/>
      <c r="L705" s="295"/>
      <c r="M705" s="295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  <c r="X705" s="295"/>
      <c r="Y705" s="295"/>
      <c r="Z705" s="295"/>
      <c r="AA705" s="295"/>
      <c r="AB705" s="295"/>
      <c r="AC705" s="295"/>
    </row>
    <row r="706">
      <c r="A706" s="295"/>
      <c r="B706" s="350"/>
      <c r="C706" s="350"/>
      <c r="D706" s="295"/>
      <c r="E706" s="295"/>
      <c r="F706" s="295"/>
      <c r="G706" s="295"/>
      <c r="H706" s="295"/>
      <c r="I706" s="351"/>
      <c r="J706" s="295"/>
      <c r="K706" s="295"/>
      <c r="L706" s="295"/>
      <c r="M706" s="295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  <c r="X706" s="295"/>
      <c r="Y706" s="295"/>
      <c r="Z706" s="295"/>
      <c r="AA706" s="295"/>
      <c r="AB706" s="295"/>
      <c r="AC706" s="295"/>
    </row>
    <row r="707">
      <c r="A707" s="295"/>
      <c r="B707" s="350"/>
      <c r="C707" s="350"/>
      <c r="D707" s="295"/>
      <c r="E707" s="295"/>
      <c r="F707" s="295"/>
      <c r="G707" s="295"/>
      <c r="H707" s="295"/>
      <c r="I707" s="351"/>
      <c r="J707" s="295"/>
      <c r="K707" s="295"/>
      <c r="L707" s="295"/>
      <c r="M707" s="295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  <c r="X707" s="295"/>
      <c r="Y707" s="295"/>
      <c r="Z707" s="295"/>
      <c r="AA707" s="295"/>
      <c r="AB707" s="295"/>
      <c r="AC707" s="295"/>
    </row>
    <row r="708">
      <c r="A708" s="295"/>
      <c r="B708" s="350"/>
      <c r="C708" s="350"/>
      <c r="D708" s="295"/>
      <c r="E708" s="295"/>
      <c r="F708" s="295"/>
      <c r="G708" s="295"/>
      <c r="H708" s="295"/>
      <c r="I708" s="351"/>
      <c r="J708" s="295"/>
      <c r="K708" s="295"/>
      <c r="L708" s="295"/>
      <c r="M708" s="295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  <c r="X708" s="295"/>
      <c r="Y708" s="295"/>
      <c r="Z708" s="295"/>
      <c r="AA708" s="295"/>
      <c r="AB708" s="295"/>
      <c r="AC708" s="295"/>
    </row>
    <row r="709">
      <c r="A709" s="295"/>
      <c r="B709" s="350"/>
      <c r="C709" s="350"/>
      <c r="D709" s="295"/>
      <c r="E709" s="295"/>
      <c r="F709" s="295"/>
      <c r="G709" s="295"/>
      <c r="H709" s="295"/>
      <c r="I709" s="351"/>
      <c r="J709" s="295"/>
      <c r="K709" s="295"/>
      <c r="L709" s="295"/>
      <c r="M709" s="295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  <c r="X709" s="295"/>
      <c r="Y709" s="295"/>
      <c r="Z709" s="295"/>
      <c r="AA709" s="295"/>
      <c r="AB709" s="295"/>
      <c r="AC709" s="295"/>
    </row>
    <row r="710">
      <c r="A710" s="295"/>
      <c r="B710" s="350"/>
      <c r="C710" s="350"/>
      <c r="D710" s="295"/>
      <c r="E710" s="295"/>
      <c r="F710" s="295"/>
      <c r="G710" s="295"/>
      <c r="H710" s="295"/>
      <c r="I710" s="351"/>
      <c r="J710" s="295"/>
      <c r="K710" s="295"/>
      <c r="L710" s="295"/>
      <c r="M710" s="295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  <c r="X710" s="295"/>
      <c r="Y710" s="295"/>
      <c r="Z710" s="295"/>
      <c r="AA710" s="295"/>
      <c r="AB710" s="295"/>
      <c r="AC710" s="295"/>
    </row>
    <row r="711">
      <c r="A711" s="295"/>
      <c r="B711" s="350"/>
      <c r="C711" s="350"/>
      <c r="D711" s="295"/>
      <c r="E711" s="295"/>
      <c r="F711" s="295"/>
      <c r="G711" s="295"/>
      <c r="H711" s="295"/>
      <c r="I711" s="351"/>
      <c r="J711" s="295"/>
      <c r="K711" s="295"/>
      <c r="L711" s="295"/>
      <c r="M711" s="295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  <c r="X711" s="295"/>
      <c r="Y711" s="295"/>
      <c r="Z711" s="295"/>
      <c r="AA711" s="295"/>
      <c r="AB711" s="295"/>
      <c r="AC711" s="295"/>
    </row>
    <row r="712">
      <c r="A712" s="295"/>
      <c r="B712" s="350"/>
      <c r="C712" s="350"/>
      <c r="D712" s="295"/>
      <c r="E712" s="295"/>
      <c r="F712" s="295"/>
      <c r="G712" s="295"/>
      <c r="H712" s="295"/>
      <c r="I712" s="351"/>
      <c r="J712" s="295"/>
      <c r="K712" s="295"/>
      <c r="L712" s="295"/>
      <c r="M712" s="295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  <c r="X712" s="295"/>
      <c r="Y712" s="295"/>
      <c r="Z712" s="295"/>
      <c r="AA712" s="295"/>
      <c r="AB712" s="295"/>
      <c r="AC712" s="295"/>
    </row>
    <row r="713">
      <c r="A713" s="295"/>
      <c r="B713" s="350"/>
      <c r="C713" s="350"/>
      <c r="D713" s="295"/>
      <c r="E713" s="295"/>
      <c r="F713" s="295"/>
      <c r="G713" s="295"/>
      <c r="H713" s="295"/>
      <c r="I713" s="351"/>
      <c r="J713" s="295"/>
      <c r="K713" s="295"/>
      <c r="L713" s="295"/>
      <c r="M713" s="295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  <c r="X713" s="295"/>
      <c r="Y713" s="295"/>
      <c r="Z713" s="295"/>
      <c r="AA713" s="295"/>
      <c r="AB713" s="295"/>
      <c r="AC713" s="295"/>
    </row>
    <row r="714">
      <c r="A714" s="295"/>
      <c r="B714" s="350"/>
      <c r="C714" s="350"/>
      <c r="D714" s="295"/>
      <c r="E714" s="295"/>
      <c r="F714" s="295"/>
      <c r="G714" s="295"/>
      <c r="H714" s="295"/>
      <c r="I714" s="351"/>
      <c r="J714" s="295"/>
      <c r="K714" s="295"/>
      <c r="L714" s="295"/>
      <c r="M714" s="295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  <c r="X714" s="295"/>
      <c r="Y714" s="295"/>
      <c r="Z714" s="295"/>
      <c r="AA714" s="295"/>
      <c r="AB714" s="295"/>
      <c r="AC714" s="295"/>
    </row>
    <row r="715">
      <c r="A715" s="295"/>
      <c r="B715" s="350"/>
      <c r="C715" s="350"/>
      <c r="D715" s="295"/>
      <c r="E715" s="295"/>
      <c r="F715" s="295"/>
      <c r="G715" s="295"/>
      <c r="H715" s="295"/>
      <c r="I715" s="351"/>
      <c r="J715" s="295"/>
      <c r="K715" s="295"/>
      <c r="L715" s="295"/>
      <c r="M715" s="295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  <c r="X715" s="295"/>
      <c r="Y715" s="295"/>
      <c r="Z715" s="295"/>
      <c r="AA715" s="295"/>
      <c r="AB715" s="295"/>
      <c r="AC715" s="295"/>
    </row>
    <row r="716">
      <c r="A716" s="295"/>
      <c r="B716" s="350"/>
      <c r="C716" s="350"/>
      <c r="D716" s="295"/>
      <c r="E716" s="295"/>
      <c r="F716" s="295"/>
      <c r="G716" s="295"/>
      <c r="H716" s="295"/>
      <c r="I716" s="351"/>
      <c r="J716" s="295"/>
      <c r="K716" s="295"/>
      <c r="L716" s="295"/>
      <c r="M716" s="295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  <c r="X716" s="295"/>
      <c r="Y716" s="295"/>
      <c r="Z716" s="295"/>
      <c r="AA716" s="295"/>
      <c r="AB716" s="295"/>
      <c r="AC716" s="295"/>
    </row>
    <row r="717">
      <c r="A717" s="295"/>
      <c r="B717" s="350"/>
      <c r="C717" s="350"/>
      <c r="D717" s="295"/>
      <c r="E717" s="295"/>
      <c r="F717" s="295"/>
      <c r="G717" s="295"/>
      <c r="H717" s="295"/>
      <c r="I717" s="351"/>
      <c r="J717" s="295"/>
      <c r="K717" s="295"/>
      <c r="L717" s="295"/>
      <c r="M717" s="295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  <c r="X717" s="295"/>
      <c r="Y717" s="295"/>
      <c r="Z717" s="295"/>
      <c r="AA717" s="295"/>
      <c r="AB717" s="295"/>
      <c r="AC717" s="295"/>
    </row>
    <row r="718">
      <c r="A718" s="295"/>
      <c r="B718" s="350"/>
      <c r="C718" s="350"/>
      <c r="D718" s="295"/>
      <c r="E718" s="295"/>
      <c r="F718" s="295"/>
      <c r="G718" s="295"/>
      <c r="H718" s="295"/>
      <c r="I718" s="351"/>
      <c r="J718" s="295"/>
      <c r="K718" s="295"/>
      <c r="L718" s="295"/>
      <c r="M718" s="295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  <c r="X718" s="295"/>
      <c r="Y718" s="295"/>
      <c r="Z718" s="295"/>
      <c r="AA718" s="295"/>
      <c r="AB718" s="295"/>
      <c r="AC718" s="295"/>
    </row>
    <row r="719">
      <c r="A719" s="295"/>
      <c r="B719" s="350"/>
      <c r="C719" s="350"/>
      <c r="D719" s="295"/>
      <c r="E719" s="295"/>
      <c r="F719" s="295"/>
      <c r="G719" s="295"/>
      <c r="H719" s="295"/>
      <c r="I719" s="351"/>
      <c r="J719" s="295"/>
      <c r="K719" s="295"/>
      <c r="L719" s="295"/>
      <c r="M719" s="295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  <c r="X719" s="295"/>
      <c r="Y719" s="295"/>
      <c r="Z719" s="295"/>
      <c r="AA719" s="295"/>
      <c r="AB719" s="295"/>
      <c r="AC719" s="295"/>
    </row>
    <row r="720">
      <c r="A720" s="295"/>
      <c r="B720" s="350"/>
      <c r="C720" s="350"/>
      <c r="D720" s="295"/>
      <c r="E720" s="295"/>
      <c r="F720" s="295"/>
      <c r="G720" s="295"/>
      <c r="H720" s="295"/>
      <c r="I720" s="351"/>
      <c r="J720" s="295"/>
      <c r="K720" s="295"/>
      <c r="L720" s="295"/>
      <c r="M720" s="295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  <c r="X720" s="295"/>
      <c r="Y720" s="295"/>
      <c r="Z720" s="295"/>
      <c r="AA720" s="295"/>
      <c r="AB720" s="295"/>
      <c r="AC720" s="295"/>
    </row>
    <row r="721">
      <c r="A721" s="295"/>
      <c r="B721" s="350"/>
      <c r="C721" s="350"/>
      <c r="D721" s="295"/>
      <c r="E721" s="295"/>
      <c r="F721" s="295"/>
      <c r="G721" s="295"/>
      <c r="H721" s="295"/>
      <c r="I721" s="351"/>
      <c r="J721" s="295"/>
      <c r="K721" s="295"/>
      <c r="L721" s="295"/>
      <c r="M721" s="295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  <c r="X721" s="295"/>
      <c r="Y721" s="295"/>
      <c r="Z721" s="295"/>
      <c r="AA721" s="295"/>
      <c r="AB721" s="295"/>
      <c r="AC721" s="295"/>
    </row>
    <row r="722">
      <c r="A722" s="295"/>
      <c r="B722" s="350"/>
      <c r="C722" s="350"/>
      <c r="D722" s="295"/>
      <c r="E722" s="295"/>
      <c r="F722" s="295"/>
      <c r="G722" s="295"/>
      <c r="H722" s="295"/>
      <c r="I722" s="351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  <c r="AB722" s="295"/>
      <c r="AC722" s="295"/>
    </row>
    <row r="723">
      <c r="A723" s="295"/>
      <c r="B723" s="350"/>
      <c r="C723" s="350"/>
      <c r="D723" s="295"/>
      <c r="E723" s="295"/>
      <c r="F723" s="295"/>
      <c r="G723" s="295"/>
      <c r="H723" s="295"/>
      <c r="I723" s="351"/>
      <c r="J723" s="295"/>
      <c r="K723" s="295"/>
      <c r="L723" s="295"/>
      <c r="M723" s="295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  <c r="X723" s="295"/>
      <c r="Y723" s="295"/>
      <c r="Z723" s="295"/>
      <c r="AA723" s="295"/>
      <c r="AB723" s="295"/>
      <c r="AC723" s="295"/>
    </row>
    <row r="724">
      <c r="A724" s="295"/>
      <c r="B724" s="350"/>
      <c r="C724" s="350"/>
      <c r="D724" s="295"/>
      <c r="E724" s="295"/>
      <c r="F724" s="295"/>
      <c r="G724" s="295"/>
      <c r="H724" s="295"/>
      <c r="I724" s="351"/>
      <c r="J724" s="295"/>
      <c r="K724" s="295"/>
      <c r="L724" s="295"/>
      <c r="M724" s="295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  <c r="X724" s="295"/>
      <c r="Y724" s="295"/>
      <c r="Z724" s="295"/>
      <c r="AA724" s="295"/>
      <c r="AB724" s="295"/>
      <c r="AC724" s="295"/>
    </row>
    <row r="725">
      <c r="A725" s="295"/>
      <c r="B725" s="350"/>
      <c r="C725" s="350"/>
      <c r="D725" s="295"/>
      <c r="E725" s="295"/>
      <c r="F725" s="295"/>
      <c r="G725" s="295"/>
      <c r="H725" s="295"/>
      <c r="I725" s="351"/>
      <c r="J725" s="295"/>
      <c r="K725" s="295"/>
      <c r="L725" s="295"/>
      <c r="M725" s="295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  <c r="X725" s="295"/>
      <c r="Y725" s="295"/>
      <c r="Z725" s="295"/>
      <c r="AA725" s="295"/>
      <c r="AB725" s="295"/>
      <c r="AC725" s="295"/>
    </row>
    <row r="726">
      <c r="A726" s="295"/>
      <c r="B726" s="350"/>
      <c r="C726" s="350"/>
      <c r="D726" s="295"/>
      <c r="E726" s="295"/>
      <c r="F726" s="295"/>
      <c r="G726" s="295"/>
      <c r="H726" s="295"/>
      <c r="I726" s="351"/>
      <c r="J726" s="295"/>
      <c r="K726" s="295"/>
      <c r="L726" s="295"/>
      <c r="M726" s="295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  <c r="X726" s="295"/>
      <c r="Y726" s="295"/>
      <c r="Z726" s="295"/>
      <c r="AA726" s="295"/>
      <c r="AB726" s="295"/>
      <c r="AC726" s="295"/>
    </row>
    <row r="727">
      <c r="A727" s="295"/>
      <c r="B727" s="350"/>
      <c r="C727" s="350"/>
      <c r="D727" s="295"/>
      <c r="E727" s="295"/>
      <c r="F727" s="295"/>
      <c r="G727" s="295"/>
      <c r="H727" s="295"/>
      <c r="I727" s="351"/>
      <c r="J727" s="295"/>
      <c r="K727" s="295"/>
      <c r="L727" s="295"/>
      <c r="M727" s="295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  <c r="X727" s="295"/>
      <c r="Y727" s="295"/>
      <c r="Z727" s="295"/>
      <c r="AA727" s="295"/>
      <c r="AB727" s="295"/>
      <c r="AC727" s="295"/>
    </row>
    <row r="728">
      <c r="A728" s="295"/>
      <c r="B728" s="350"/>
      <c r="C728" s="350"/>
      <c r="D728" s="295"/>
      <c r="E728" s="295"/>
      <c r="F728" s="295"/>
      <c r="G728" s="295"/>
      <c r="H728" s="295"/>
      <c r="I728" s="351"/>
      <c r="J728" s="295"/>
      <c r="K728" s="295"/>
      <c r="L728" s="295"/>
      <c r="M728" s="295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  <c r="X728" s="295"/>
      <c r="Y728" s="295"/>
      <c r="Z728" s="295"/>
      <c r="AA728" s="295"/>
      <c r="AB728" s="295"/>
      <c r="AC728" s="295"/>
    </row>
    <row r="729">
      <c r="A729" s="295"/>
      <c r="B729" s="350"/>
      <c r="C729" s="350"/>
      <c r="D729" s="295"/>
      <c r="E729" s="295"/>
      <c r="F729" s="295"/>
      <c r="G729" s="295"/>
      <c r="H729" s="295"/>
      <c r="I729" s="351"/>
      <c r="J729" s="295"/>
      <c r="K729" s="295"/>
      <c r="L729" s="295"/>
      <c r="M729" s="295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  <c r="X729" s="295"/>
      <c r="Y729" s="295"/>
      <c r="Z729" s="295"/>
      <c r="AA729" s="295"/>
      <c r="AB729" s="295"/>
      <c r="AC729" s="295"/>
    </row>
    <row r="730">
      <c r="A730" s="295"/>
      <c r="B730" s="350"/>
      <c r="C730" s="350"/>
      <c r="D730" s="295"/>
      <c r="E730" s="295"/>
      <c r="F730" s="295"/>
      <c r="G730" s="295"/>
      <c r="H730" s="295"/>
      <c r="I730" s="351"/>
      <c r="J730" s="295"/>
      <c r="K730" s="295"/>
      <c r="L730" s="295"/>
      <c r="M730" s="295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  <c r="X730" s="295"/>
      <c r="Y730" s="295"/>
      <c r="Z730" s="295"/>
      <c r="AA730" s="295"/>
      <c r="AB730" s="295"/>
      <c r="AC730" s="295"/>
    </row>
    <row r="731">
      <c r="A731" s="295"/>
      <c r="B731" s="350"/>
      <c r="C731" s="350"/>
      <c r="D731" s="295"/>
      <c r="E731" s="295"/>
      <c r="F731" s="295"/>
      <c r="G731" s="295"/>
      <c r="H731" s="295"/>
      <c r="I731" s="351"/>
      <c r="J731" s="295"/>
      <c r="K731" s="295"/>
      <c r="L731" s="295"/>
      <c r="M731" s="295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  <c r="X731" s="295"/>
      <c r="Y731" s="295"/>
      <c r="Z731" s="295"/>
      <c r="AA731" s="295"/>
      <c r="AB731" s="295"/>
      <c r="AC731" s="295"/>
    </row>
    <row r="732">
      <c r="A732" s="295"/>
      <c r="B732" s="350"/>
      <c r="C732" s="350"/>
      <c r="D732" s="295"/>
      <c r="E732" s="295"/>
      <c r="F732" s="295"/>
      <c r="G732" s="295"/>
      <c r="H732" s="295"/>
      <c r="I732" s="351"/>
      <c r="J732" s="295"/>
      <c r="K732" s="295"/>
      <c r="L732" s="295"/>
      <c r="M732" s="295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  <c r="X732" s="295"/>
      <c r="Y732" s="295"/>
      <c r="Z732" s="295"/>
      <c r="AA732" s="295"/>
      <c r="AB732" s="295"/>
      <c r="AC732" s="295"/>
    </row>
    <row r="733">
      <c r="A733" s="295"/>
      <c r="B733" s="350"/>
      <c r="C733" s="350"/>
      <c r="D733" s="295"/>
      <c r="E733" s="295"/>
      <c r="F733" s="295"/>
      <c r="G733" s="295"/>
      <c r="H733" s="295"/>
      <c r="I733" s="351"/>
      <c r="J733" s="295"/>
      <c r="K733" s="295"/>
      <c r="L733" s="295"/>
      <c r="M733" s="295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  <c r="X733" s="295"/>
      <c r="Y733" s="295"/>
      <c r="Z733" s="295"/>
      <c r="AA733" s="295"/>
      <c r="AB733" s="295"/>
      <c r="AC733" s="295"/>
    </row>
    <row r="734">
      <c r="A734" s="295"/>
      <c r="B734" s="350"/>
      <c r="C734" s="350"/>
      <c r="D734" s="295"/>
      <c r="E734" s="295"/>
      <c r="F734" s="295"/>
      <c r="G734" s="295"/>
      <c r="H734" s="295"/>
      <c r="I734" s="351"/>
      <c r="J734" s="295"/>
      <c r="K734" s="295"/>
      <c r="L734" s="295"/>
      <c r="M734" s="295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  <c r="X734" s="295"/>
      <c r="Y734" s="295"/>
      <c r="Z734" s="295"/>
      <c r="AA734" s="295"/>
      <c r="AB734" s="295"/>
      <c r="AC734" s="295"/>
    </row>
    <row r="735">
      <c r="A735" s="295"/>
      <c r="B735" s="350"/>
      <c r="C735" s="350"/>
      <c r="D735" s="295"/>
      <c r="E735" s="295"/>
      <c r="F735" s="295"/>
      <c r="G735" s="295"/>
      <c r="H735" s="295"/>
      <c r="I735" s="351"/>
      <c r="J735" s="295"/>
      <c r="K735" s="295"/>
      <c r="L735" s="295"/>
      <c r="M735" s="295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  <c r="X735" s="295"/>
      <c r="Y735" s="295"/>
      <c r="Z735" s="295"/>
      <c r="AA735" s="295"/>
      <c r="AB735" s="295"/>
      <c r="AC735" s="295"/>
    </row>
    <row r="736">
      <c r="A736" s="295"/>
      <c r="B736" s="350"/>
      <c r="C736" s="350"/>
      <c r="D736" s="295"/>
      <c r="E736" s="295"/>
      <c r="F736" s="295"/>
      <c r="G736" s="295"/>
      <c r="H736" s="295"/>
      <c r="I736" s="351"/>
      <c r="J736" s="295"/>
      <c r="K736" s="295"/>
      <c r="L736" s="295"/>
      <c r="M736" s="295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  <c r="X736" s="295"/>
      <c r="Y736" s="295"/>
      <c r="Z736" s="295"/>
      <c r="AA736" s="295"/>
      <c r="AB736" s="295"/>
      <c r="AC736" s="295"/>
    </row>
    <row r="737">
      <c r="A737" s="295"/>
      <c r="B737" s="350"/>
      <c r="C737" s="350"/>
      <c r="D737" s="295"/>
      <c r="E737" s="295"/>
      <c r="F737" s="295"/>
      <c r="G737" s="295"/>
      <c r="H737" s="295"/>
      <c r="I737" s="351"/>
      <c r="J737" s="295"/>
      <c r="K737" s="295"/>
      <c r="L737" s="295"/>
      <c r="M737" s="295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  <c r="X737" s="295"/>
      <c r="Y737" s="295"/>
      <c r="Z737" s="295"/>
      <c r="AA737" s="295"/>
      <c r="AB737" s="295"/>
      <c r="AC737" s="295"/>
    </row>
    <row r="738">
      <c r="A738" s="295"/>
      <c r="B738" s="350"/>
      <c r="C738" s="350"/>
      <c r="D738" s="295"/>
      <c r="E738" s="295"/>
      <c r="F738" s="295"/>
      <c r="G738" s="295"/>
      <c r="H738" s="295"/>
      <c r="I738" s="351"/>
      <c r="J738" s="295"/>
      <c r="K738" s="295"/>
      <c r="L738" s="295"/>
      <c r="M738" s="295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  <c r="X738" s="295"/>
      <c r="Y738" s="295"/>
      <c r="Z738" s="295"/>
      <c r="AA738" s="295"/>
      <c r="AB738" s="295"/>
      <c r="AC738" s="295"/>
    </row>
    <row r="739">
      <c r="A739" s="295"/>
      <c r="B739" s="350"/>
      <c r="C739" s="350"/>
      <c r="D739" s="295"/>
      <c r="E739" s="295"/>
      <c r="F739" s="295"/>
      <c r="G739" s="295"/>
      <c r="H739" s="295"/>
      <c r="I739" s="351"/>
      <c r="J739" s="295"/>
      <c r="K739" s="295"/>
      <c r="L739" s="295"/>
      <c r="M739" s="295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  <c r="X739" s="295"/>
      <c r="Y739" s="295"/>
      <c r="Z739" s="295"/>
      <c r="AA739" s="295"/>
      <c r="AB739" s="295"/>
      <c r="AC739" s="295"/>
    </row>
    <row r="740">
      <c r="A740" s="295"/>
      <c r="B740" s="350"/>
      <c r="C740" s="350"/>
      <c r="D740" s="295"/>
      <c r="E740" s="295"/>
      <c r="F740" s="295"/>
      <c r="G740" s="295"/>
      <c r="H740" s="295"/>
      <c r="I740" s="351"/>
      <c r="J740" s="295"/>
      <c r="K740" s="295"/>
      <c r="L740" s="295"/>
      <c r="M740" s="295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  <c r="X740" s="295"/>
      <c r="Y740" s="295"/>
      <c r="Z740" s="295"/>
      <c r="AA740" s="295"/>
      <c r="AB740" s="295"/>
      <c r="AC740" s="295"/>
    </row>
    <row r="741">
      <c r="A741" s="295"/>
      <c r="B741" s="350"/>
      <c r="C741" s="350"/>
      <c r="D741" s="295"/>
      <c r="E741" s="295"/>
      <c r="F741" s="295"/>
      <c r="G741" s="295"/>
      <c r="H741" s="295"/>
      <c r="I741" s="351"/>
      <c r="J741" s="295"/>
      <c r="K741" s="295"/>
      <c r="L741" s="295"/>
      <c r="M741" s="295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  <c r="X741" s="295"/>
      <c r="Y741" s="295"/>
      <c r="Z741" s="295"/>
      <c r="AA741" s="295"/>
      <c r="AB741" s="295"/>
      <c r="AC741" s="295"/>
    </row>
    <row r="742">
      <c r="A742" s="295"/>
      <c r="B742" s="350"/>
      <c r="C742" s="350"/>
      <c r="D742" s="295"/>
      <c r="E742" s="295"/>
      <c r="F742" s="295"/>
      <c r="G742" s="295"/>
      <c r="H742" s="295"/>
      <c r="I742" s="351"/>
      <c r="J742" s="295"/>
      <c r="K742" s="295"/>
      <c r="L742" s="295"/>
      <c r="M742" s="295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  <c r="X742" s="295"/>
      <c r="Y742" s="295"/>
      <c r="Z742" s="295"/>
      <c r="AA742" s="295"/>
      <c r="AB742" s="295"/>
      <c r="AC742" s="295"/>
    </row>
    <row r="743">
      <c r="A743" s="295"/>
      <c r="B743" s="350"/>
      <c r="C743" s="350"/>
      <c r="D743" s="295"/>
      <c r="E743" s="295"/>
      <c r="F743" s="295"/>
      <c r="G743" s="295"/>
      <c r="H743" s="295"/>
      <c r="I743" s="351"/>
      <c r="J743" s="295"/>
      <c r="K743" s="295"/>
      <c r="L743" s="295"/>
      <c r="M743" s="295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  <c r="X743" s="295"/>
      <c r="Y743" s="295"/>
      <c r="Z743" s="295"/>
      <c r="AA743" s="295"/>
      <c r="AB743" s="295"/>
      <c r="AC743" s="295"/>
    </row>
    <row r="744">
      <c r="A744" s="295"/>
      <c r="B744" s="350"/>
      <c r="C744" s="350"/>
      <c r="D744" s="295"/>
      <c r="E744" s="295"/>
      <c r="F744" s="295"/>
      <c r="G744" s="295"/>
      <c r="H744" s="295"/>
      <c r="I744" s="351"/>
      <c r="J744" s="295"/>
      <c r="K744" s="295"/>
      <c r="L744" s="295"/>
      <c r="M744" s="295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  <c r="X744" s="295"/>
      <c r="Y744" s="295"/>
      <c r="Z744" s="295"/>
      <c r="AA744" s="295"/>
      <c r="AB744" s="295"/>
      <c r="AC744" s="295"/>
    </row>
    <row r="745">
      <c r="A745" s="295"/>
      <c r="B745" s="350"/>
      <c r="C745" s="350"/>
      <c r="D745" s="295"/>
      <c r="E745" s="295"/>
      <c r="F745" s="295"/>
      <c r="G745" s="295"/>
      <c r="H745" s="295"/>
      <c r="I745" s="351"/>
      <c r="J745" s="295"/>
      <c r="K745" s="295"/>
      <c r="L745" s="295"/>
      <c r="M745" s="295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  <c r="X745" s="295"/>
      <c r="Y745" s="295"/>
      <c r="Z745" s="295"/>
      <c r="AA745" s="295"/>
      <c r="AB745" s="295"/>
      <c r="AC745" s="295"/>
    </row>
    <row r="746">
      <c r="A746" s="295"/>
      <c r="B746" s="350"/>
      <c r="C746" s="350"/>
      <c r="D746" s="295"/>
      <c r="E746" s="295"/>
      <c r="F746" s="295"/>
      <c r="G746" s="295"/>
      <c r="H746" s="295"/>
      <c r="I746" s="351"/>
      <c r="J746" s="295"/>
      <c r="K746" s="295"/>
      <c r="L746" s="295"/>
      <c r="M746" s="295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  <c r="X746" s="295"/>
      <c r="Y746" s="295"/>
      <c r="Z746" s="295"/>
      <c r="AA746" s="295"/>
      <c r="AB746" s="295"/>
      <c r="AC746" s="295"/>
    </row>
    <row r="747">
      <c r="A747" s="295"/>
      <c r="B747" s="350"/>
      <c r="C747" s="350"/>
      <c r="D747" s="295"/>
      <c r="E747" s="295"/>
      <c r="F747" s="295"/>
      <c r="G747" s="295"/>
      <c r="H747" s="295"/>
      <c r="I747" s="351"/>
      <c r="J747" s="295"/>
      <c r="K747" s="295"/>
      <c r="L747" s="295"/>
      <c r="M747" s="295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  <c r="X747" s="295"/>
      <c r="Y747" s="295"/>
      <c r="Z747" s="295"/>
      <c r="AA747" s="295"/>
      <c r="AB747" s="295"/>
      <c r="AC747" s="295"/>
    </row>
    <row r="748">
      <c r="A748" s="295"/>
      <c r="B748" s="350"/>
      <c r="C748" s="350"/>
      <c r="D748" s="295"/>
      <c r="E748" s="295"/>
      <c r="F748" s="295"/>
      <c r="G748" s="295"/>
      <c r="H748" s="295"/>
      <c r="I748" s="351"/>
      <c r="J748" s="295"/>
      <c r="K748" s="295"/>
      <c r="L748" s="295"/>
      <c r="M748" s="295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  <c r="X748" s="295"/>
      <c r="Y748" s="295"/>
      <c r="Z748" s="295"/>
      <c r="AA748" s="295"/>
      <c r="AB748" s="295"/>
      <c r="AC748" s="295"/>
    </row>
    <row r="749">
      <c r="A749" s="295"/>
      <c r="B749" s="350"/>
      <c r="C749" s="350"/>
      <c r="D749" s="295"/>
      <c r="E749" s="295"/>
      <c r="F749" s="295"/>
      <c r="G749" s="295"/>
      <c r="H749" s="295"/>
      <c r="I749" s="351"/>
      <c r="J749" s="295"/>
      <c r="K749" s="295"/>
      <c r="L749" s="295"/>
      <c r="M749" s="295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  <c r="X749" s="295"/>
      <c r="Y749" s="295"/>
      <c r="Z749" s="295"/>
      <c r="AA749" s="295"/>
      <c r="AB749" s="295"/>
      <c r="AC749" s="295"/>
    </row>
    <row r="750">
      <c r="A750" s="295"/>
      <c r="B750" s="350"/>
      <c r="C750" s="350"/>
      <c r="D750" s="295"/>
      <c r="E750" s="295"/>
      <c r="F750" s="295"/>
      <c r="G750" s="295"/>
      <c r="H750" s="295"/>
      <c r="I750" s="351"/>
      <c r="J750" s="295"/>
      <c r="K750" s="295"/>
      <c r="L750" s="295"/>
      <c r="M750" s="295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  <c r="X750" s="295"/>
      <c r="Y750" s="295"/>
      <c r="Z750" s="295"/>
      <c r="AA750" s="295"/>
      <c r="AB750" s="295"/>
      <c r="AC750" s="295"/>
    </row>
    <row r="751">
      <c r="A751" s="295"/>
      <c r="B751" s="350"/>
      <c r="C751" s="350"/>
      <c r="D751" s="295"/>
      <c r="E751" s="295"/>
      <c r="F751" s="295"/>
      <c r="G751" s="295"/>
      <c r="H751" s="295"/>
      <c r="I751" s="351"/>
      <c r="J751" s="295"/>
      <c r="K751" s="295"/>
      <c r="L751" s="295"/>
      <c r="M751" s="295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  <c r="X751" s="295"/>
      <c r="Y751" s="295"/>
      <c r="Z751" s="295"/>
      <c r="AA751" s="295"/>
      <c r="AB751" s="295"/>
      <c r="AC751" s="295"/>
    </row>
    <row r="752">
      <c r="A752" s="295"/>
      <c r="B752" s="350"/>
      <c r="C752" s="350"/>
      <c r="D752" s="295"/>
      <c r="E752" s="295"/>
      <c r="F752" s="295"/>
      <c r="G752" s="295"/>
      <c r="H752" s="295"/>
      <c r="I752" s="351"/>
      <c r="J752" s="295"/>
      <c r="K752" s="295"/>
      <c r="L752" s="295"/>
      <c r="M752" s="295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  <c r="X752" s="295"/>
      <c r="Y752" s="295"/>
      <c r="Z752" s="295"/>
      <c r="AA752" s="295"/>
      <c r="AB752" s="295"/>
      <c r="AC752" s="295"/>
    </row>
    <row r="753">
      <c r="A753" s="295"/>
      <c r="B753" s="350"/>
      <c r="C753" s="350"/>
      <c r="D753" s="295"/>
      <c r="E753" s="295"/>
      <c r="F753" s="295"/>
      <c r="G753" s="295"/>
      <c r="H753" s="295"/>
      <c r="I753" s="351"/>
      <c r="J753" s="295"/>
      <c r="K753" s="295"/>
      <c r="L753" s="295"/>
      <c r="M753" s="295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  <c r="X753" s="295"/>
      <c r="Y753" s="295"/>
      <c r="Z753" s="295"/>
      <c r="AA753" s="295"/>
      <c r="AB753" s="295"/>
      <c r="AC753" s="295"/>
    </row>
    <row r="754">
      <c r="A754" s="295"/>
      <c r="B754" s="350"/>
      <c r="C754" s="350"/>
      <c r="D754" s="295"/>
      <c r="E754" s="295"/>
      <c r="F754" s="295"/>
      <c r="G754" s="295"/>
      <c r="H754" s="295"/>
      <c r="I754" s="351"/>
      <c r="J754" s="295"/>
      <c r="K754" s="295"/>
      <c r="L754" s="295"/>
      <c r="M754" s="295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  <c r="X754" s="295"/>
      <c r="Y754" s="295"/>
      <c r="Z754" s="295"/>
      <c r="AA754" s="295"/>
      <c r="AB754" s="295"/>
      <c r="AC754" s="295"/>
    </row>
    <row r="755">
      <c r="A755" s="295"/>
      <c r="B755" s="350"/>
      <c r="C755" s="350"/>
      <c r="D755" s="295"/>
      <c r="E755" s="295"/>
      <c r="F755" s="295"/>
      <c r="G755" s="295"/>
      <c r="H755" s="295"/>
      <c r="I755" s="351"/>
      <c r="J755" s="295"/>
      <c r="K755" s="295"/>
      <c r="L755" s="295"/>
      <c r="M755" s="295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  <c r="X755" s="295"/>
      <c r="Y755" s="295"/>
      <c r="Z755" s="295"/>
      <c r="AA755" s="295"/>
      <c r="AB755" s="295"/>
      <c r="AC755" s="295"/>
    </row>
    <row r="756">
      <c r="A756" s="295"/>
      <c r="B756" s="350"/>
      <c r="C756" s="350"/>
      <c r="D756" s="295"/>
      <c r="E756" s="295"/>
      <c r="F756" s="295"/>
      <c r="G756" s="295"/>
      <c r="H756" s="295"/>
      <c r="I756" s="351"/>
      <c r="J756" s="295"/>
      <c r="K756" s="295"/>
      <c r="L756" s="295"/>
      <c r="M756" s="295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  <c r="X756" s="295"/>
      <c r="Y756" s="295"/>
      <c r="Z756" s="295"/>
      <c r="AA756" s="295"/>
      <c r="AB756" s="295"/>
      <c r="AC756" s="295"/>
    </row>
    <row r="757">
      <c r="A757" s="295"/>
      <c r="B757" s="350"/>
      <c r="C757" s="350"/>
      <c r="D757" s="295"/>
      <c r="E757" s="295"/>
      <c r="F757" s="295"/>
      <c r="G757" s="295"/>
      <c r="H757" s="295"/>
      <c r="I757" s="351"/>
      <c r="J757" s="295"/>
      <c r="K757" s="295"/>
      <c r="L757" s="295"/>
      <c r="M757" s="295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  <c r="X757" s="295"/>
      <c r="Y757" s="295"/>
      <c r="Z757" s="295"/>
      <c r="AA757" s="295"/>
      <c r="AB757" s="295"/>
      <c r="AC757" s="295"/>
    </row>
    <row r="758">
      <c r="A758" s="295"/>
      <c r="B758" s="350"/>
      <c r="C758" s="350"/>
      <c r="D758" s="295"/>
      <c r="E758" s="295"/>
      <c r="F758" s="295"/>
      <c r="G758" s="295"/>
      <c r="H758" s="295"/>
      <c r="I758" s="351"/>
      <c r="J758" s="295"/>
      <c r="K758" s="295"/>
      <c r="L758" s="295"/>
      <c r="M758" s="295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  <c r="X758" s="295"/>
      <c r="Y758" s="295"/>
      <c r="Z758" s="295"/>
      <c r="AA758" s="295"/>
      <c r="AB758" s="295"/>
      <c r="AC758" s="295"/>
    </row>
    <row r="759">
      <c r="A759" s="295"/>
      <c r="B759" s="350"/>
      <c r="C759" s="350"/>
      <c r="D759" s="295"/>
      <c r="E759" s="295"/>
      <c r="F759" s="295"/>
      <c r="G759" s="295"/>
      <c r="H759" s="295"/>
      <c r="I759" s="351"/>
      <c r="J759" s="295"/>
      <c r="K759" s="295"/>
      <c r="L759" s="295"/>
      <c r="M759" s="295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  <c r="X759" s="295"/>
      <c r="Y759" s="295"/>
      <c r="Z759" s="295"/>
      <c r="AA759" s="295"/>
      <c r="AB759" s="295"/>
      <c r="AC759" s="295"/>
    </row>
    <row r="760">
      <c r="A760" s="295"/>
      <c r="B760" s="350"/>
      <c r="C760" s="350"/>
      <c r="D760" s="295"/>
      <c r="E760" s="295"/>
      <c r="F760" s="295"/>
      <c r="G760" s="295"/>
      <c r="H760" s="295"/>
      <c r="I760" s="351"/>
      <c r="J760" s="295"/>
      <c r="K760" s="295"/>
      <c r="L760" s="295"/>
      <c r="M760" s="295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  <c r="X760" s="295"/>
      <c r="Y760" s="295"/>
      <c r="Z760" s="295"/>
      <c r="AA760" s="295"/>
      <c r="AB760" s="295"/>
      <c r="AC760" s="295"/>
    </row>
    <row r="761">
      <c r="A761" s="295"/>
      <c r="B761" s="350"/>
      <c r="C761" s="350"/>
      <c r="D761" s="295"/>
      <c r="E761" s="295"/>
      <c r="F761" s="295"/>
      <c r="G761" s="295"/>
      <c r="H761" s="295"/>
      <c r="I761" s="351"/>
      <c r="J761" s="295"/>
      <c r="K761" s="295"/>
      <c r="L761" s="295"/>
      <c r="M761" s="295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  <c r="X761" s="295"/>
      <c r="Y761" s="295"/>
      <c r="Z761" s="295"/>
      <c r="AA761" s="295"/>
      <c r="AB761" s="295"/>
      <c r="AC761" s="295"/>
    </row>
    <row r="762">
      <c r="A762" s="295"/>
      <c r="B762" s="350"/>
      <c r="C762" s="350"/>
      <c r="D762" s="295"/>
      <c r="E762" s="295"/>
      <c r="F762" s="295"/>
      <c r="G762" s="295"/>
      <c r="H762" s="295"/>
      <c r="I762" s="351"/>
      <c r="J762" s="295"/>
      <c r="K762" s="295"/>
      <c r="L762" s="295"/>
      <c r="M762" s="295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  <c r="X762" s="295"/>
      <c r="Y762" s="295"/>
      <c r="Z762" s="295"/>
      <c r="AA762" s="295"/>
      <c r="AB762" s="295"/>
      <c r="AC762" s="295"/>
    </row>
    <row r="763">
      <c r="A763" s="295"/>
      <c r="B763" s="350"/>
      <c r="C763" s="350"/>
      <c r="D763" s="295"/>
      <c r="E763" s="295"/>
      <c r="F763" s="295"/>
      <c r="G763" s="295"/>
      <c r="H763" s="295"/>
      <c r="I763" s="351"/>
      <c r="J763" s="295"/>
      <c r="K763" s="295"/>
      <c r="L763" s="295"/>
      <c r="M763" s="295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  <c r="X763" s="295"/>
      <c r="Y763" s="295"/>
      <c r="Z763" s="295"/>
      <c r="AA763" s="295"/>
      <c r="AB763" s="295"/>
      <c r="AC763" s="295"/>
    </row>
    <row r="764">
      <c r="A764" s="295"/>
      <c r="B764" s="350"/>
      <c r="C764" s="350"/>
      <c r="D764" s="295"/>
      <c r="E764" s="295"/>
      <c r="F764" s="295"/>
      <c r="G764" s="295"/>
      <c r="H764" s="295"/>
      <c r="I764" s="351"/>
      <c r="J764" s="295"/>
      <c r="K764" s="295"/>
      <c r="L764" s="295"/>
      <c r="M764" s="295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  <c r="X764" s="295"/>
      <c r="Y764" s="295"/>
      <c r="Z764" s="295"/>
      <c r="AA764" s="295"/>
      <c r="AB764" s="295"/>
      <c r="AC764" s="295"/>
    </row>
    <row r="765">
      <c r="A765" s="295"/>
      <c r="B765" s="350"/>
      <c r="C765" s="350"/>
      <c r="D765" s="295"/>
      <c r="E765" s="295"/>
      <c r="F765" s="295"/>
      <c r="G765" s="295"/>
      <c r="H765" s="295"/>
      <c r="I765" s="351"/>
      <c r="J765" s="295"/>
      <c r="K765" s="295"/>
      <c r="L765" s="295"/>
      <c r="M765" s="295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  <c r="X765" s="295"/>
      <c r="Y765" s="295"/>
      <c r="Z765" s="295"/>
      <c r="AA765" s="295"/>
      <c r="AB765" s="295"/>
      <c r="AC765" s="295"/>
    </row>
    <row r="766">
      <c r="A766" s="295"/>
      <c r="B766" s="350"/>
      <c r="C766" s="350"/>
      <c r="D766" s="295"/>
      <c r="E766" s="295"/>
      <c r="F766" s="295"/>
      <c r="G766" s="295"/>
      <c r="H766" s="295"/>
      <c r="I766" s="351"/>
      <c r="J766" s="295"/>
      <c r="K766" s="295"/>
      <c r="L766" s="295"/>
      <c r="M766" s="295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  <c r="X766" s="295"/>
      <c r="Y766" s="295"/>
      <c r="Z766" s="295"/>
      <c r="AA766" s="295"/>
      <c r="AB766" s="295"/>
      <c r="AC766" s="295"/>
    </row>
    <row r="767">
      <c r="A767" s="295"/>
      <c r="B767" s="350"/>
      <c r="C767" s="350"/>
      <c r="D767" s="295"/>
      <c r="E767" s="295"/>
      <c r="F767" s="295"/>
      <c r="G767" s="295"/>
      <c r="H767" s="295"/>
      <c r="I767" s="351"/>
      <c r="J767" s="295"/>
      <c r="K767" s="295"/>
      <c r="L767" s="295"/>
      <c r="M767" s="295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  <c r="X767" s="295"/>
      <c r="Y767" s="295"/>
      <c r="Z767" s="295"/>
      <c r="AA767" s="295"/>
      <c r="AB767" s="295"/>
      <c r="AC767" s="295"/>
    </row>
    <row r="768">
      <c r="A768" s="295"/>
      <c r="B768" s="350"/>
      <c r="C768" s="350"/>
      <c r="D768" s="295"/>
      <c r="E768" s="295"/>
      <c r="F768" s="295"/>
      <c r="G768" s="295"/>
      <c r="H768" s="295"/>
      <c r="I768" s="351"/>
      <c r="J768" s="295"/>
      <c r="K768" s="295"/>
      <c r="L768" s="295"/>
      <c r="M768" s="295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  <c r="X768" s="295"/>
      <c r="Y768" s="295"/>
      <c r="Z768" s="295"/>
      <c r="AA768" s="295"/>
      <c r="AB768" s="295"/>
      <c r="AC768" s="295"/>
    </row>
    <row r="769">
      <c r="A769" s="295"/>
      <c r="B769" s="350"/>
      <c r="C769" s="350"/>
      <c r="D769" s="295"/>
      <c r="E769" s="295"/>
      <c r="F769" s="295"/>
      <c r="G769" s="295"/>
      <c r="H769" s="295"/>
      <c r="I769" s="351"/>
      <c r="J769" s="295"/>
      <c r="K769" s="295"/>
      <c r="L769" s="295"/>
      <c r="M769" s="295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  <c r="X769" s="295"/>
      <c r="Y769" s="295"/>
      <c r="Z769" s="295"/>
      <c r="AA769" s="295"/>
      <c r="AB769" s="295"/>
      <c r="AC769" s="295"/>
    </row>
    <row r="770">
      <c r="A770" s="295"/>
      <c r="B770" s="350"/>
      <c r="C770" s="350"/>
      <c r="D770" s="295"/>
      <c r="E770" s="295"/>
      <c r="F770" s="295"/>
      <c r="G770" s="295"/>
      <c r="H770" s="295"/>
      <c r="I770" s="351"/>
      <c r="J770" s="295"/>
      <c r="K770" s="295"/>
      <c r="L770" s="295"/>
      <c r="M770" s="295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  <c r="X770" s="295"/>
      <c r="Y770" s="295"/>
      <c r="Z770" s="295"/>
      <c r="AA770" s="295"/>
      <c r="AB770" s="295"/>
      <c r="AC770" s="295"/>
    </row>
    <row r="771">
      <c r="A771" s="295"/>
      <c r="B771" s="350"/>
      <c r="C771" s="350"/>
      <c r="D771" s="295"/>
      <c r="E771" s="295"/>
      <c r="F771" s="295"/>
      <c r="G771" s="295"/>
      <c r="H771" s="295"/>
      <c r="I771" s="351"/>
      <c r="J771" s="295"/>
      <c r="K771" s="295"/>
      <c r="L771" s="295"/>
      <c r="M771" s="295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  <c r="X771" s="295"/>
      <c r="Y771" s="295"/>
      <c r="Z771" s="295"/>
      <c r="AA771" s="295"/>
      <c r="AB771" s="295"/>
      <c r="AC771" s="295"/>
    </row>
    <row r="772">
      <c r="A772" s="295"/>
      <c r="B772" s="350"/>
      <c r="C772" s="350"/>
      <c r="D772" s="295"/>
      <c r="E772" s="295"/>
      <c r="F772" s="295"/>
      <c r="G772" s="295"/>
      <c r="H772" s="295"/>
      <c r="I772" s="351"/>
      <c r="J772" s="295"/>
      <c r="K772" s="295"/>
      <c r="L772" s="295"/>
      <c r="M772" s="295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  <c r="X772" s="295"/>
      <c r="Y772" s="295"/>
      <c r="Z772" s="295"/>
      <c r="AA772" s="295"/>
      <c r="AB772" s="295"/>
      <c r="AC772" s="295"/>
    </row>
    <row r="773">
      <c r="A773" s="295"/>
      <c r="B773" s="350"/>
      <c r="C773" s="350"/>
      <c r="D773" s="295"/>
      <c r="E773" s="295"/>
      <c r="F773" s="295"/>
      <c r="G773" s="295"/>
      <c r="H773" s="295"/>
      <c r="I773" s="351"/>
      <c r="J773" s="295"/>
      <c r="K773" s="295"/>
      <c r="L773" s="295"/>
      <c r="M773" s="295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  <c r="X773" s="295"/>
      <c r="Y773" s="295"/>
      <c r="Z773" s="295"/>
      <c r="AA773" s="295"/>
      <c r="AB773" s="295"/>
      <c r="AC773" s="295"/>
    </row>
    <row r="774">
      <c r="A774" s="295"/>
      <c r="B774" s="350"/>
      <c r="C774" s="350"/>
      <c r="D774" s="295"/>
      <c r="E774" s="295"/>
      <c r="F774" s="295"/>
      <c r="G774" s="295"/>
      <c r="H774" s="295"/>
      <c r="I774" s="351"/>
      <c r="J774" s="295"/>
      <c r="K774" s="295"/>
      <c r="L774" s="295"/>
      <c r="M774" s="295"/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  <c r="X774" s="295"/>
      <c r="Y774" s="295"/>
      <c r="Z774" s="295"/>
      <c r="AA774" s="295"/>
      <c r="AB774" s="295"/>
      <c r="AC774" s="295"/>
    </row>
    <row r="775">
      <c r="A775" s="295"/>
      <c r="B775" s="350"/>
      <c r="C775" s="350"/>
      <c r="D775" s="295"/>
      <c r="E775" s="295"/>
      <c r="F775" s="295"/>
      <c r="G775" s="295"/>
      <c r="H775" s="295"/>
      <c r="I775" s="351"/>
      <c r="J775" s="295"/>
      <c r="K775" s="295"/>
      <c r="L775" s="295"/>
      <c r="M775" s="295"/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  <c r="X775" s="295"/>
      <c r="Y775" s="295"/>
      <c r="Z775" s="295"/>
      <c r="AA775" s="295"/>
      <c r="AB775" s="295"/>
      <c r="AC775" s="295"/>
    </row>
    <row r="776">
      <c r="A776" s="295"/>
      <c r="B776" s="350"/>
      <c r="C776" s="350"/>
      <c r="D776" s="295"/>
      <c r="E776" s="295"/>
      <c r="F776" s="295"/>
      <c r="G776" s="295"/>
      <c r="H776" s="295"/>
      <c r="I776" s="351"/>
      <c r="J776" s="295"/>
      <c r="K776" s="295"/>
      <c r="L776" s="295"/>
      <c r="M776" s="295"/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  <c r="X776" s="295"/>
      <c r="Y776" s="295"/>
      <c r="Z776" s="295"/>
      <c r="AA776" s="295"/>
      <c r="AB776" s="295"/>
      <c r="AC776" s="295"/>
    </row>
    <row r="777">
      <c r="A777" s="295"/>
      <c r="B777" s="350"/>
      <c r="C777" s="350"/>
      <c r="D777" s="295"/>
      <c r="E777" s="295"/>
      <c r="F777" s="295"/>
      <c r="G777" s="295"/>
      <c r="H777" s="295"/>
      <c r="I777" s="351"/>
      <c r="J777" s="295"/>
      <c r="K777" s="295"/>
      <c r="L777" s="295"/>
      <c r="M777" s="295"/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  <c r="X777" s="295"/>
      <c r="Y777" s="295"/>
      <c r="Z777" s="295"/>
      <c r="AA777" s="295"/>
      <c r="AB777" s="295"/>
      <c r="AC777" s="295"/>
    </row>
    <row r="778">
      <c r="A778" s="295"/>
      <c r="B778" s="350"/>
      <c r="C778" s="350"/>
      <c r="D778" s="295"/>
      <c r="E778" s="295"/>
      <c r="F778" s="295"/>
      <c r="G778" s="295"/>
      <c r="H778" s="295"/>
      <c r="I778" s="351"/>
      <c r="J778" s="295"/>
      <c r="K778" s="295"/>
      <c r="L778" s="295"/>
      <c r="M778" s="295"/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  <c r="X778" s="295"/>
      <c r="Y778" s="295"/>
      <c r="Z778" s="295"/>
      <c r="AA778" s="295"/>
      <c r="AB778" s="295"/>
      <c r="AC778" s="295"/>
    </row>
    <row r="779">
      <c r="A779" s="295"/>
      <c r="B779" s="350"/>
      <c r="C779" s="350"/>
      <c r="D779" s="295"/>
      <c r="E779" s="295"/>
      <c r="F779" s="295"/>
      <c r="G779" s="295"/>
      <c r="H779" s="295"/>
      <c r="I779" s="351"/>
      <c r="J779" s="295"/>
      <c r="K779" s="295"/>
      <c r="L779" s="295"/>
      <c r="M779" s="295"/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  <c r="X779" s="295"/>
      <c r="Y779" s="295"/>
      <c r="Z779" s="295"/>
      <c r="AA779" s="295"/>
      <c r="AB779" s="295"/>
      <c r="AC779" s="295"/>
    </row>
    <row r="780">
      <c r="A780" s="295"/>
      <c r="B780" s="350"/>
      <c r="C780" s="350"/>
      <c r="D780" s="295"/>
      <c r="E780" s="295"/>
      <c r="F780" s="295"/>
      <c r="G780" s="295"/>
      <c r="H780" s="295"/>
      <c r="I780" s="351"/>
      <c r="J780" s="295"/>
      <c r="K780" s="295"/>
      <c r="L780" s="295"/>
      <c r="M780" s="295"/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  <c r="X780" s="295"/>
      <c r="Y780" s="295"/>
      <c r="Z780" s="295"/>
      <c r="AA780" s="295"/>
      <c r="AB780" s="295"/>
      <c r="AC780" s="295"/>
    </row>
    <row r="781">
      <c r="A781" s="295"/>
      <c r="B781" s="350"/>
      <c r="C781" s="350"/>
      <c r="D781" s="295"/>
      <c r="E781" s="295"/>
      <c r="F781" s="295"/>
      <c r="G781" s="295"/>
      <c r="H781" s="295"/>
      <c r="I781" s="351"/>
      <c r="J781" s="295"/>
      <c r="K781" s="295"/>
      <c r="L781" s="295"/>
      <c r="M781" s="295"/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  <c r="X781" s="295"/>
      <c r="Y781" s="295"/>
      <c r="Z781" s="295"/>
      <c r="AA781" s="295"/>
      <c r="AB781" s="295"/>
      <c r="AC781" s="295"/>
    </row>
    <row r="782">
      <c r="A782" s="295"/>
      <c r="B782" s="350"/>
      <c r="C782" s="350"/>
      <c r="D782" s="295"/>
      <c r="E782" s="295"/>
      <c r="F782" s="295"/>
      <c r="G782" s="295"/>
      <c r="H782" s="295"/>
      <c r="I782" s="351"/>
      <c r="J782" s="295"/>
      <c r="K782" s="295"/>
      <c r="L782" s="295"/>
      <c r="M782" s="295"/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  <c r="X782" s="295"/>
      <c r="Y782" s="295"/>
      <c r="Z782" s="295"/>
      <c r="AA782" s="295"/>
      <c r="AB782" s="295"/>
      <c r="AC782" s="295"/>
    </row>
    <row r="783">
      <c r="A783" s="295"/>
      <c r="B783" s="350"/>
      <c r="C783" s="350"/>
      <c r="D783" s="295"/>
      <c r="E783" s="295"/>
      <c r="F783" s="295"/>
      <c r="G783" s="295"/>
      <c r="H783" s="295"/>
      <c r="I783" s="351"/>
      <c r="J783" s="295"/>
      <c r="K783" s="295"/>
      <c r="L783" s="295"/>
      <c r="M783" s="295"/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  <c r="X783" s="295"/>
      <c r="Y783" s="295"/>
      <c r="Z783" s="295"/>
      <c r="AA783" s="295"/>
      <c r="AB783" s="295"/>
      <c r="AC783" s="295"/>
    </row>
    <row r="784">
      <c r="A784" s="295"/>
      <c r="B784" s="350"/>
      <c r="C784" s="350"/>
      <c r="D784" s="295"/>
      <c r="E784" s="295"/>
      <c r="F784" s="295"/>
      <c r="G784" s="295"/>
      <c r="H784" s="295"/>
      <c r="I784" s="351"/>
      <c r="J784" s="295"/>
      <c r="K784" s="295"/>
      <c r="L784" s="295"/>
      <c r="M784" s="295"/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  <c r="X784" s="295"/>
      <c r="Y784" s="295"/>
      <c r="Z784" s="295"/>
      <c r="AA784" s="295"/>
      <c r="AB784" s="295"/>
      <c r="AC784" s="295"/>
    </row>
    <row r="785">
      <c r="A785" s="295"/>
      <c r="B785" s="350"/>
      <c r="C785" s="350"/>
      <c r="D785" s="295"/>
      <c r="E785" s="295"/>
      <c r="F785" s="295"/>
      <c r="G785" s="295"/>
      <c r="H785" s="295"/>
      <c r="I785" s="351"/>
      <c r="J785" s="295"/>
      <c r="K785" s="295"/>
      <c r="L785" s="295"/>
      <c r="M785" s="295"/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  <c r="X785" s="295"/>
      <c r="Y785" s="295"/>
      <c r="Z785" s="295"/>
      <c r="AA785" s="295"/>
      <c r="AB785" s="295"/>
      <c r="AC785" s="295"/>
    </row>
    <row r="786">
      <c r="A786" s="295"/>
      <c r="B786" s="350"/>
      <c r="C786" s="350"/>
      <c r="D786" s="295"/>
      <c r="E786" s="295"/>
      <c r="F786" s="295"/>
      <c r="G786" s="295"/>
      <c r="H786" s="295"/>
      <c r="I786" s="351"/>
      <c r="J786" s="295"/>
      <c r="K786" s="295"/>
      <c r="L786" s="295"/>
      <c r="M786" s="295"/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  <c r="X786" s="295"/>
      <c r="Y786" s="295"/>
      <c r="Z786" s="295"/>
      <c r="AA786" s="295"/>
      <c r="AB786" s="295"/>
      <c r="AC786" s="295"/>
    </row>
    <row r="787">
      <c r="A787" s="295"/>
      <c r="B787" s="350"/>
      <c r="C787" s="350"/>
      <c r="D787" s="295"/>
      <c r="E787" s="295"/>
      <c r="F787" s="295"/>
      <c r="G787" s="295"/>
      <c r="H787" s="295"/>
      <c r="I787" s="351"/>
      <c r="J787" s="295"/>
      <c r="K787" s="295"/>
      <c r="L787" s="295"/>
      <c r="M787" s="295"/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  <c r="X787" s="295"/>
      <c r="Y787" s="295"/>
      <c r="Z787" s="295"/>
      <c r="AA787" s="295"/>
      <c r="AB787" s="295"/>
      <c r="AC787" s="295"/>
    </row>
    <row r="788">
      <c r="A788" s="295"/>
      <c r="B788" s="350"/>
      <c r="C788" s="350"/>
      <c r="D788" s="295"/>
      <c r="E788" s="295"/>
      <c r="F788" s="295"/>
      <c r="G788" s="295"/>
      <c r="H788" s="295"/>
      <c r="I788" s="351"/>
      <c r="J788" s="295"/>
      <c r="K788" s="295"/>
      <c r="L788" s="295"/>
      <c r="M788" s="295"/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  <c r="X788" s="295"/>
      <c r="Y788" s="295"/>
      <c r="Z788" s="295"/>
      <c r="AA788" s="295"/>
      <c r="AB788" s="295"/>
      <c r="AC788" s="295"/>
    </row>
    <row r="789">
      <c r="A789" s="295"/>
      <c r="B789" s="350"/>
      <c r="C789" s="350"/>
      <c r="D789" s="295"/>
      <c r="E789" s="295"/>
      <c r="F789" s="295"/>
      <c r="G789" s="295"/>
      <c r="H789" s="295"/>
      <c r="I789" s="351"/>
      <c r="J789" s="295"/>
      <c r="K789" s="295"/>
      <c r="L789" s="295"/>
      <c r="M789" s="295"/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  <c r="X789" s="295"/>
      <c r="Y789" s="295"/>
      <c r="Z789" s="295"/>
      <c r="AA789" s="295"/>
      <c r="AB789" s="295"/>
      <c r="AC789" s="295"/>
    </row>
    <row r="790">
      <c r="A790" s="295"/>
      <c r="B790" s="350"/>
      <c r="C790" s="350"/>
      <c r="D790" s="295"/>
      <c r="E790" s="295"/>
      <c r="F790" s="295"/>
      <c r="G790" s="295"/>
      <c r="H790" s="295"/>
      <c r="I790" s="351"/>
      <c r="J790" s="295"/>
      <c r="K790" s="295"/>
      <c r="L790" s="295"/>
      <c r="M790" s="295"/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  <c r="X790" s="295"/>
      <c r="Y790" s="295"/>
      <c r="Z790" s="295"/>
      <c r="AA790" s="295"/>
      <c r="AB790" s="295"/>
      <c r="AC790" s="295"/>
    </row>
    <row r="791">
      <c r="A791" s="295"/>
      <c r="B791" s="350"/>
      <c r="C791" s="350"/>
      <c r="D791" s="295"/>
      <c r="E791" s="295"/>
      <c r="F791" s="295"/>
      <c r="G791" s="295"/>
      <c r="H791" s="295"/>
      <c r="I791" s="351"/>
      <c r="J791" s="295"/>
      <c r="K791" s="295"/>
      <c r="L791" s="295"/>
      <c r="M791" s="295"/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  <c r="X791" s="295"/>
      <c r="Y791" s="295"/>
      <c r="Z791" s="295"/>
      <c r="AA791" s="295"/>
      <c r="AB791" s="295"/>
      <c r="AC791" s="295"/>
    </row>
    <row r="792">
      <c r="A792" s="295"/>
      <c r="B792" s="350"/>
      <c r="C792" s="350"/>
      <c r="D792" s="295"/>
      <c r="E792" s="295"/>
      <c r="F792" s="295"/>
      <c r="G792" s="295"/>
      <c r="H792" s="295"/>
      <c r="I792" s="351"/>
      <c r="J792" s="295"/>
      <c r="K792" s="295"/>
      <c r="L792" s="295"/>
      <c r="M792" s="295"/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  <c r="X792" s="295"/>
      <c r="Y792" s="295"/>
      <c r="Z792" s="295"/>
      <c r="AA792" s="295"/>
      <c r="AB792" s="295"/>
      <c r="AC792" s="295"/>
    </row>
    <row r="793">
      <c r="A793" s="295"/>
      <c r="B793" s="350"/>
      <c r="C793" s="350"/>
      <c r="D793" s="295"/>
      <c r="E793" s="295"/>
      <c r="F793" s="295"/>
      <c r="G793" s="295"/>
      <c r="H793" s="295"/>
      <c r="I793" s="351"/>
      <c r="J793" s="295"/>
      <c r="K793" s="295"/>
      <c r="L793" s="295"/>
      <c r="M793" s="295"/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  <c r="X793" s="295"/>
      <c r="Y793" s="295"/>
      <c r="Z793" s="295"/>
      <c r="AA793" s="295"/>
      <c r="AB793" s="295"/>
      <c r="AC793" s="295"/>
    </row>
    <row r="794">
      <c r="A794" s="295"/>
      <c r="B794" s="350"/>
      <c r="C794" s="350"/>
      <c r="D794" s="295"/>
      <c r="E794" s="295"/>
      <c r="F794" s="295"/>
      <c r="G794" s="295"/>
      <c r="H794" s="295"/>
      <c r="I794" s="351"/>
      <c r="J794" s="295"/>
      <c r="K794" s="295"/>
      <c r="L794" s="295"/>
      <c r="M794" s="295"/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  <c r="X794" s="295"/>
      <c r="Y794" s="295"/>
      <c r="Z794" s="295"/>
      <c r="AA794" s="295"/>
      <c r="AB794" s="295"/>
      <c r="AC794" s="295"/>
    </row>
    <row r="795">
      <c r="A795" s="295"/>
      <c r="B795" s="350"/>
      <c r="C795" s="350"/>
      <c r="D795" s="295"/>
      <c r="E795" s="295"/>
      <c r="F795" s="295"/>
      <c r="G795" s="295"/>
      <c r="H795" s="295"/>
      <c r="I795" s="351"/>
      <c r="J795" s="295"/>
      <c r="K795" s="295"/>
      <c r="L795" s="295"/>
      <c r="M795" s="295"/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  <c r="X795" s="295"/>
      <c r="Y795" s="295"/>
      <c r="Z795" s="295"/>
      <c r="AA795" s="295"/>
      <c r="AB795" s="295"/>
      <c r="AC795" s="295"/>
    </row>
    <row r="796">
      <c r="A796" s="295"/>
      <c r="B796" s="350"/>
      <c r="C796" s="350"/>
      <c r="D796" s="295"/>
      <c r="E796" s="295"/>
      <c r="F796" s="295"/>
      <c r="G796" s="295"/>
      <c r="H796" s="295"/>
      <c r="I796" s="351"/>
      <c r="J796" s="295"/>
      <c r="K796" s="295"/>
      <c r="L796" s="295"/>
      <c r="M796" s="295"/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  <c r="X796" s="295"/>
      <c r="Y796" s="295"/>
      <c r="Z796" s="295"/>
      <c r="AA796" s="295"/>
      <c r="AB796" s="295"/>
      <c r="AC796" s="295"/>
    </row>
    <row r="797">
      <c r="A797" s="295"/>
      <c r="B797" s="350"/>
      <c r="C797" s="350"/>
      <c r="D797" s="295"/>
      <c r="E797" s="295"/>
      <c r="F797" s="295"/>
      <c r="G797" s="295"/>
      <c r="H797" s="295"/>
      <c r="I797" s="351"/>
      <c r="J797" s="295"/>
      <c r="K797" s="295"/>
      <c r="L797" s="295"/>
      <c r="M797" s="295"/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  <c r="X797" s="295"/>
      <c r="Y797" s="295"/>
      <c r="Z797" s="295"/>
      <c r="AA797" s="295"/>
      <c r="AB797" s="295"/>
      <c r="AC797" s="295"/>
    </row>
    <row r="798">
      <c r="A798" s="295"/>
      <c r="B798" s="350"/>
      <c r="C798" s="350"/>
      <c r="D798" s="295"/>
      <c r="E798" s="295"/>
      <c r="F798" s="295"/>
      <c r="G798" s="295"/>
      <c r="H798" s="295"/>
      <c r="I798" s="351"/>
      <c r="J798" s="295"/>
      <c r="K798" s="295"/>
      <c r="L798" s="295"/>
      <c r="M798" s="295"/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  <c r="X798" s="295"/>
      <c r="Y798" s="295"/>
      <c r="Z798" s="295"/>
      <c r="AA798" s="295"/>
      <c r="AB798" s="295"/>
      <c r="AC798" s="295"/>
    </row>
    <row r="799">
      <c r="A799" s="295"/>
      <c r="B799" s="350"/>
      <c r="C799" s="350"/>
      <c r="D799" s="295"/>
      <c r="E799" s="295"/>
      <c r="F799" s="295"/>
      <c r="G799" s="295"/>
      <c r="H799" s="295"/>
      <c r="I799" s="351"/>
      <c r="J799" s="295"/>
      <c r="K799" s="295"/>
      <c r="L799" s="295"/>
      <c r="M799" s="295"/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  <c r="X799" s="295"/>
      <c r="Y799" s="295"/>
      <c r="Z799" s="295"/>
      <c r="AA799" s="295"/>
      <c r="AB799" s="295"/>
      <c r="AC799" s="295"/>
    </row>
    <row r="800">
      <c r="A800" s="295"/>
      <c r="B800" s="350"/>
      <c r="C800" s="350"/>
      <c r="D800" s="295"/>
      <c r="E800" s="295"/>
      <c r="F800" s="295"/>
      <c r="G800" s="295"/>
      <c r="H800" s="295"/>
      <c r="I800" s="351"/>
      <c r="J800" s="295"/>
      <c r="K800" s="295"/>
      <c r="L800" s="295"/>
      <c r="M800" s="295"/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  <c r="X800" s="295"/>
      <c r="Y800" s="295"/>
      <c r="Z800" s="295"/>
      <c r="AA800" s="295"/>
      <c r="AB800" s="295"/>
      <c r="AC800" s="295"/>
    </row>
    <row r="801">
      <c r="A801" s="295"/>
      <c r="B801" s="350"/>
      <c r="C801" s="350"/>
      <c r="D801" s="295"/>
      <c r="E801" s="295"/>
      <c r="F801" s="295"/>
      <c r="G801" s="295"/>
      <c r="H801" s="295"/>
      <c r="I801" s="351"/>
      <c r="J801" s="295"/>
      <c r="K801" s="295"/>
      <c r="L801" s="295"/>
      <c r="M801" s="295"/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  <c r="X801" s="295"/>
      <c r="Y801" s="295"/>
      <c r="Z801" s="295"/>
      <c r="AA801" s="295"/>
      <c r="AB801" s="295"/>
      <c r="AC801" s="295"/>
    </row>
    <row r="802">
      <c r="A802" s="295"/>
      <c r="B802" s="350"/>
      <c r="C802" s="350"/>
      <c r="D802" s="295"/>
      <c r="E802" s="295"/>
      <c r="F802" s="295"/>
      <c r="G802" s="295"/>
      <c r="H802" s="295"/>
      <c r="I802" s="351"/>
      <c r="J802" s="295"/>
      <c r="K802" s="295"/>
      <c r="L802" s="295"/>
      <c r="M802" s="295"/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  <c r="X802" s="295"/>
      <c r="Y802" s="295"/>
      <c r="Z802" s="295"/>
      <c r="AA802" s="295"/>
      <c r="AB802" s="295"/>
      <c r="AC802" s="295"/>
    </row>
    <row r="803">
      <c r="A803" s="295"/>
      <c r="B803" s="350"/>
      <c r="C803" s="350"/>
      <c r="D803" s="295"/>
      <c r="E803" s="295"/>
      <c r="F803" s="295"/>
      <c r="G803" s="295"/>
      <c r="H803" s="295"/>
      <c r="I803" s="351"/>
      <c r="J803" s="295"/>
      <c r="K803" s="295"/>
      <c r="L803" s="295"/>
      <c r="M803" s="295"/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  <c r="X803" s="295"/>
      <c r="Y803" s="295"/>
      <c r="Z803" s="295"/>
      <c r="AA803" s="295"/>
      <c r="AB803" s="295"/>
      <c r="AC803" s="295"/>
    </row>
    <row r="804">
      <c r="A804" s="295"/>
      <c r="B804" s="350"/>
      <c r="C804" s="350"/>
      <c r="D804" s="295"/>
      <c r="E804" s="295"/>
      <c r="F804" s="295"/>
      <c r="G804" s="295"/>
      <c r="H804" s="295"/>
      <c r="I804" s="351"/>
      <c r="J804" s="295"/>
      <c r="K804" s="295"/>
      <c r="L804" s="295"/>
      <c r="M804" s="295"/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  <c r="X804" s="295"/>
      <c r="Y804" s="295"/>
      <c r="Z804" s="295"/>
      <c r="AA804" s="295"/>
      <c r="AB804" s="295"/>
      <c r="AC804" s="295"/>
    </row>
    <row r="805">
      <c r="A805" s="295"/>
      <c r="B805" s="350"/>
      <c r="C805" s="350"/>
      <c r="D805" s="295"/>
      <c r="E805" s="295"/>
      <c r="F805" s="295"/>
      <c r="G805" s="295"/>
      <c r="H805" s="295"/>
      <c r="I805" s="351"/>
      <c r="J805" s="295"/>
      <c r="K805" s="295"/>
      <c r="L805" s="295"/>
      <c r="M805" s="295"/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  <c r="X805" s="295"/>
      <c r="Y805" s="295"/>
      <c r="Z805" s="295"/>
      <c r="AA805" s="295"/>
      <c r="AB805" s="295"/>
      <c r="AC805" s="295"/>
    </row>
    <row r="806">
      <c r="A806" s="295"/>
      <c r="B806" s="350"/>
      <c r="C806" s="350"/>
      <c r="D806" s="295"/>
      <c r="E806" s="295"/>
      <c r="F806" s="295"/>
      <c r="G806" s="295"/>
      <c r="H806" s="295"/>
      <c r="I806" s="351"/>
      <c r="J806" s="295"/>
      <c r="K806" s="295"/>
      <c r="L806" s="295"/>
      <c r="M806" s="295"/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  <c r="X806" s="295"/>
      <c r="Y806" s="295"/>
      <c r="Z806" s="295"/>
      <c r="AA806" s="295"/>
      <c r="AB806" s="295"/>
      <c r="AC806" s="295"/>
    </row>
    <row r="807">
      <c r="A807" s="295"/>
      <c r="B807" s="350"/>
      <c r="C807" s="350"/>
      <c r="D807" s="295"/>
      <c r="E807" s="295"/>
      <c r="F807" s="295"/>
      <c r="G807" s="295"/>
      <c r="H807" s="295"/>
      <c r="I807" s="351"/>
      <c r="J807" s="295"/>
      <c r="K807" s="295"/>
      <c r="L807" s="295"/>
      <c r="M807" s="295"/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  <c r="X807" s="295"/>
      <c r="Y807" s="295"/>
      <c r="Z807" s="295"/>
      <c r="AA807" s="295"/>
      <c r="AB807" s="295"/>
      <c r="AC807" s="295"/>
    </row>
    <row r="808">
      <c r="A808" s="295"/>
      <c r="B808" s="350"/>
      <c r="C808" s="350"/>
      <c r="D808" s="295"/>
      <c r="E808" s="295"/>
      <c r="F808" s="295"/>
      <c r="G808" s="295"/>
      <c r="H808" s="295"/>
      <c r="I808" s="351"/>
      <c r="J808" s="295"/>
      <c r="K808" s="295"/>
      <c r="L808" s="295"/>
      <c r="M808" s="295"/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  <c r="X808" s="295"/>
      <c r="Y808" s="295"/>
      <c r="Z808" s="295"/>
      <c r="AA808" s="295"/>
      <c r="AB808" s="295"/>
      <c r="AC808" s="295"/>
    </row>
    <row r="809">
      <c r="A809" s="295"/>
      <c r="B809" s="350"/>
      <c r="C809" s="350"/>
      <c r="D809" s="295"/>
      <c r="E809" s="295"/>
      <c r="F809" s="295"/>
      <c r="G809" s="295"/>
      <c r="H809" s="295"/>
      <c r="I809" s="351"/>
      <c r="J809" s="295"/>
      <c r="K809" s="295"/>
      <c r="L809" s="295"/>
      <c r="M809" s="295"/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  <c r="X809" s="295"/>
      <c r="Y809" s="295"/>
      <c r="Z809" s="295"/>
      <c r="AA809" s="295"/>
      <c r="AB809" s="295"/>
      <c r="AC809" s="295"/>
    </row>
    <row r="810">
      <c r="A810" s="295"/>
      <c r="B810" s="350"/>
      <c r="C810" s="350"/>
      <c r="D810" s="295"/>
      <c r="E810" s="295"/>
      <c r="F810" s="295"/>
      <c r="G810" s="295"/>
      <c r="H810" s="295"/>
      <c r="I810" s="351"/>
      <c r="J810" s="295"/>
      <c r="K810" s="295"/>
      <c r="L810" s="295"/>
      <c r="M810" s="295"/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  <c r="X810" s="295"/>
      <c r="Y810" s="295"/>
      <c r="Z810" s="295"/>
      <c r="AA810" s="295"/>
      <c r="AB810" s="295"/>
      <c r="AC810" s="295"/>
    </row>
    <row r="811">
      <c r="A811" s="295"/>
      <c r="B811" s="350"/>
      <c r="C811" s="350"/>
      <c r="D811" s="295"/>
      <c r="E811" s="295"/>
      <c r="F811" s="295"/>
      <c r="G811" s="295"/>
      <c r="H811" s="295"/>
      <c r="I811" s="351"/>
      <c r="J811" s="295"/>
      <c r="K811" s="295"/>
      <c r="L811" s="295"/>
      <c r="M811" s="295"/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  <c r="X811" s="295"/>
      <c r="Y811" s="295"/>
      <c r="Z811" s="295"/>
      <c r="AA811" s="295"/>
      <c r="AB811" s="295"/>
      <c r="AC811" s="295"/>
    </row>
    <row r="812">
      <c r="A812" s="295"/>
      <c r="B812" s="350"/>
      <c r="C812" s="350"/>
      <c r="D812" s="295"/>
      <c r="E812" s="295"/>
      <c r="F812" s="295"/>
      <c r="G812" s="295"/>
      <c r="H812" s="295"/>
      <c r="I812" s="351"/>
      <c r="J812" s="295"/>
      <c r="K812" s="295"/>
      <c r="L812" s="295"/>
      <c r="M812" s="295"/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  <c r="X812" s="295"/>
      <c r="Y812" s="295"/>
      <c r="Z812" s="295"/>
      <c r="AA812" s="295"/>
      <c r="AB812" s="295"/>
      <c r="AC812" s="295"/>
    </row>
    <row r="813">
      <c r="A813" s="295"/>
      <c r="B813" s="350"/>
      <c r="C813" s="350"/>
      <c r="D813" s="295"/>
      <c r="E813" s="295"/>
      <c r="F813" s="295"/>
      <c r="G813" s="295"/>
      <c r="H813" s="295"/>
      <c r="I813" s="351"/>
      <c r="J813" s="295"/>
      <c r="K813" s="295"/>
      <c r="L813" s="295"/>
      <c r="M813" s="295"/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  <c r="X813" s="295"/>
      <c r="Y813" s="295"/>
      <c r="Z813" s="295"/>
      <c r="AA813" s="295"/>
      <c r="AB813" s="295"/>
      <c r="AC813" s="295"/>
    </row>
    <row r="814">
      <c r="A814" s="295"/>
      <c r="B814" s="350"/>
      <c r="C814" s="350"/>
      <c r="D814" s="295"/>
      <c r="E814" s="295"/>
      <c r="F814" s="295"/>
      <c r="G814" s="295"/>
      <c r="H814" s="295"/>
      <c r="I814" s="351"/>
      <c r="J814" s="295"/>
      <c r="K814" s="295"/>
      <c r="L814" s="295"/>
      <c r="M814" s="295"/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  <c r="X814" s="295"/>
      <c r="Y814" s="295"/>
      <c r="Z814" s="295"/>
      <c r="AA814" s="295"/>
      <c r="AB814" s="295"/>
      <c r="AC814" s="295"/>
    </row>
    <row r="815">
      <c r="A815" s="295"/>
      <c r="B815" s="350"/>
      <c r="C815" s="350"/>
      <c r="D815" s="295"/>
      <c r="E815" s="295"/>
      <c r="F815" s="295"/>
      <c r="G815" s="295"/>
      <c r="H815" s="295"/>
      <c r="I815" s="351"/>
      <c r="J815" s="295"/>
      <c r="K815" s="295"/>
      <c r="L815" s="295"/>
      <c r="M815" s="295"/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  <c r="X815" s="295"/>
      <c r="Y815" s="295"/>
      <c r="Z815" s="295"/>
      <c r="AA815" s="295"/>
      <c r="AB815" s="295"/>
      <c r="AC815" s="295"/>
    </row>
    <row r="816">
      <c r="A816" s="295"/>
      <c r="B816" s="350"/>
      <c r="C816" s="350"/>
      <c r="D816" s="295"/>
      <c r="E816" s="295"/>
      <c r="F816" s="295"/>
      <c r="G816" s="295"/>
      <c r="H816" s="295"/>
      <c r="I816" s="351"/>
      <c r="J816" s="295"/>
      <c r="K816" s="295"/>
      <c r="L816" s="295"/>
      <c r="M816" s="295"/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  <c r="X816" s="295"/>
      <c r="Y816" s="295"/>
      <c r="Z816" s="295"/>
      <c r="AA816" s="295"/>
      <c r="AB816" s="295"/>
      <c r="AC816" s="295"/>
    </row>
    <row r="817">
      <c r="A817" s="295"/>
      <c r="B817" s="350"/>
      <c r="C817" s="350"/>
      <c r="D817" s="295"/>
      <c r="E817" s="295"/>
      <c r="F817" s="295"/>
      <c r="G817" s="295"/>
      <c r="H817" s="295"/>
      <c r="I817" s="351"/>
      <c r="J817" s="295"/>
      <c r="K817" s="295"/>
      <c r="L817" s="295"/>
      <c r="M817" s="295"/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  <c r="X817" s="295"/>
      <c r="Y817" s="295"/>
      <c r="Z817" s="295"/>
      <c r="AA817" s="295"/>
      <c r="AB817" s="295"/>
      <c r="AC817" s="295"/>
    </row>
    <row r="818">
      <c r="A818" s="295"/>
      <c r="B818" s="350"/>
      <c r="C818" s="350"/>
      <c r="D818" s="295"/>
      <c r="E818" s="295"/>
      <c r="F818" s="295"/>
      <c r="G818" s="295"/>
      <c r="H818" s="295"/>
      <c r="I818" s="351"/>
      <c r="J818" s="295"/>
      <c r="K818" s="295"/>
      <c r="L818" s="295"/>
      <c r="M818" s="295"/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  <c r="X818" s="295"/>
      <c r="Y818" s="295"/>
      <c r="Z818" s="295"/>
      <c r="AA818" s="295"/>
      <c r="AB818" s="295"/>
      <c r="AC818" s="295"/>
    </row>
    <row r="819">
      <c r="A819" s="295"/>
      <c r="B819" s="350"/>
      <c r="C819" s="350"/>
      <c r="D819" s="295"/>
      <c r="E819" s="295"/>
      <c r="F819" s="295"/>
      <c r="G819" s="295"/>
      <c r="H819" s="295"/>
      <c r="I819" s="351"/>
      <c r="J819" s="295"/>
      <c r="K819" s="295"/>
      <c r="L819" s="295"/>
      <c r="M819" s="295"/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  <c r="X819" s="295"/>
      <c r="Y819" s="295"/>
      <c r="Z819" s="295"/>
      <c r="AA819" s="295"/>
      <c r="AB819" s="295"/>
      <c r="AC819" s="295"/>
    </row>
    <row r="820">
      <c r="A820" s="295"/>
      <c r="B820" s="350"/>
      <c r="C820" s="350"/>
      <c r="D820" s="295"/>
      <c r="E820" s="295"/>
      <c r="F820" s="295"/>
      <c r="G820" s="295"/>
      <c r="H820" s="295"/>
      <c r="I820" s="351"/>
      <c r="J820" s="295"/>
      <c r="K820" s="295"/>
      <c r="L820" s="295"/>
      <c r="M820" s="295"/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  <c r="X820" s="295"/>
      <c r="Y820" s="295"/>
      <c r="Z820" s="295"/>
      <c r="AA820" s="295"/>
      <c r="AB820" s="295"/>
      <c r="AC820" s="295"/>
    </row>
    <row r="821">
      <c r="A821" s="295"/>
      <c r="B821" s="350"/>
      <c r="C821" s="350"/>
      <c r="D821" s="295"/>
      <c r="E821" s="295"/>
      <c r="F821" s="295"/>
      <c r="G821" s="295"/>
      <c r="H821" s="295"/>
      <c r="I821" s="351"/>
      <c r="J821" s="295"/>
      <c r="K821" s="295"/>
      <c r="L821" s="295"/>
      <c r="M821" s="295"/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  <c r="X821" s="295"/>
      <c r="Y821" s="295"/>
      <c r="Z821" s="295"/>
      <c r="AA821" s="295"/>
      <c r="AB821" s="295"/>
      <c r="AC821" s="295"/>
    </row>
    <row r="822">
      <c r="A822" s="295"/>
      <c r="B822" s="350"/>
      <c r="C822" s="350"/>
      <c r="D822" s="295"/>
      <c r="E822" s="295"/>
      <c r="F822" s="295"/>
      <c r="G822" s="295"/>
      <c r="H822" s="295"/>
      <c r="I822" s="351"/>
      <c r="J822" s="295"/>
      <c r="K822" s="295"/>
      <c r="L822" s="295"/>
      <c r="M822" s="295"/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  <c r="X822" s="295"/>
      <c r="Y822" s="295"/>
      <c r="Z822" s="295"/>
      <c r="AA822" s="295"/>
      <c r="AB822" s="295"/>
      <c r="AC822" s="295"/>
    </row>
    <row r="823">
      <c r="A823" s="295"/>
      <c r="B823" s="350"/>
      <c r="C823" s="350"/>
      <c r="D823" s="295"/>
      <c r="E823" s="295"/>
      <c r="F823" s="295"/>
      <c r="G823" s="295"/>
      <c r="H823" s="295"/>
      <c r="I823" s="351"/>
      <c r="J823" s="295"/>
      <c r="K823" s="295"/>
      <c r="L823" s="295"/>
      <c r="M823" s="295"/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  <c r="X823" s="295"/>
      <c r="Y823" s="295"/>
      <c r="Z823" s="295"/>
      <c r="AA823" s="295"/>
      <c r="AB823" s="295"/>
      <c r="AC823" s="295"/>
    </row>
    <row r="824">
      <c r="A824" s="295"/>
      <c r="B824" s="350"/>
      <c r="C824" s="350"/>
      <c r="D824" s="295"/>
      <c r="E824" s="295"/>
      <c r="F824" s="295"/>
      <c r="G824" s="295"/>
      <c r="H824" s="295"/>
      <c r="I824" s="351"/>
      <c r="J824" s="295"/>
      <c r="K824" s="295"/>
      <c r="L824" s="295"/>
      <c r="M824" s="295"/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  <c r="X824" s="295"/>
      <c r="Y824" s="295"/>
      <c r="Z824" s="295"/>
      <c r="AA824" s="295"/>
      <c r="AB824" s="295"/>
      <c r="AC824" s="295"/>
    </row>
    <row r="825">
      <c r="A825" s="295"/>
      <c r="B825" s="350"/>
      <c r="C825" s="350"/>
      <c r="D825" s="295"/>
      <c r="E825" s="295"/>
      <c r="F825" s="295"/>
      <c r="G825" s="295"/>
      <c r="H825" s="295"/>
      <c r="I825" s="351"/>
      <c r="J825" s="295"/>
      <c r="K825" s="295"/>
      <c r="L825" s="295"/>
      <c r="M825" s="295"/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  <c r="X825" s="295"/>
      <c r="Y825" s="295"/>
      <c r="Z825" s="295"/>
      <c r="AA825" s="295"/>
      <c r="AB825" s="295"/>
      <c r="AC825" s="295"/>
    </row>
    <row r="826">
      <c r="A826" s="295"/>
      <c r="B826" s="350"/>
      <c r="C826" s="350"/>
      <c r="D826" s="295"/>
      <c r="E826" s="295"/>
      <c r="F826" s="295"/>
      <c r="G826" s="295"/>
      <c r="H826" s="295"/>
      <c r="I826" s="351"/>
      <c r="J826" s="295"/>
      <c r="K826" s="295"/>
      <c r="L826" s="295"/>
      <c r="M826" s="295"/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  <c r="X826" s="295"/>
      <c r="Y826" s="295"/>
      <c r="Z826" s="295"/>
      <c r="AA826" s="295"/>
      <c r="AB826" s="295"/>
      <c r="AC826" s="295"/>
    </row>
    <row r="827">
      <c r="A827" s="295"/>
      <c r="B827" s="350"/>
      <c r="C827" s="350"/>
      <c r="D827" s="295"/>
      <c r="E827" s="295"/>
      <c r="F827" s="295"/>
      <c r="G827" s="295"/>
      <c r="H827" s="295"/>
      <c r="I827" s="351"/>
      <c r="J827" s="295"/>
      <c r="K827" s="295"/>
      <c r="L827" s="295"/>
      <c r="M827" s="295"/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  <c r="X827" s="295"/>
      <c r="Y827" s="295"/>
      <c r="Z827" s="295"/>
      <c r="AA827" s="295"/>
      <c r="AB827" s="295"/>
      <c r="AC827" s="295"/>
    </row>
    <row r="828">
      <c r="A828" s="295"/>
      <c r="B828" s="350"/>
      <c r="C828" s="350"/>
      <c r="D828" s="295"/>
      <c r="E828" s="295"/>
      <c r="F828" s="295"/>
      <c r="G828" s="295"/>
      <c r="H828" s="295"/>
      <c r="I828" s="351"/>
      <c r="J828" s="295"/>
      <c r="K828" s="295"/>
      <c r="L828" s="295"/>
      <c r="M828" s="295"/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  <c r="X828" s="295"/>
      <c r="Y828" s="295"/>
      <c r="Z828" s="295"/>
      <c r="AA828" s="295"/>
      <c r="AB828" s="295"/>
      <c r="AC828" s="295"/>
    </row>
    <row r="829">
      <c r="A829" s="295"/>
      <c r="B829" s="350"/>
      <c r="C829" s="350"/>
      <c r="D829" s="295"/>
      <c r="E829" s="295"/>
      <c r="F829" s="295"/>
      <c r="G829" s="295"/>
      <c r="H829" s="295"/>
      <c r="I829" s="351"/>
      <c r="J829" s="295"/>
      <c r="K829" s="295"/>
      <c r="L829" s="295"/>
      <c r="M829" s="295"/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  <c r="X829" s="295"/>
      <c r="Y829" s="295"/>
      <c r="Z829" s="295"/>
      <c r="AA829" s="295"/>
      <c r="AB829" s="295"/>
      <c r="AC829" s="295"/>
    </row>
    <row r="830">
      <c r="A830" s="295"/>
      <c r="B830" s="350"/>
      <c r="C830" s="350"/>
      <c r="D830" s="295"/>
      <c r="E830" s="295"/>
      <c r="F830" s="295"/>
      <c r="G830" s="295"/>
      <c r="H830" s="295"/>
      <c r="I830" s="351"/>
      <c r="J830" s="295"/>
      <c r="K830" s="295"/>
      <c r="L830" s="295"/>
      <c r="M830" s="295"/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  <c r="X830" s="295"/>
      <c r="Y830" s="295"/>
      <c r="Z830" s="295"/>
      <c r="AA830" s="295"/>
      <c r="AB830" s="295"/>
      <c r="AC830" s="295"/>
    </row>
    <row r="831">
      <c r="A831" s="295"/>
      <c r="B831" s="350"/>
      <c r="C831" s="350"/>
      <c r="D831" s="295"/>
      <c r="E831" s="295"/>
      <c r="F831" s="295"/>
      <c r="G831" s="295"/>
      <c r="H831" s="295"/>
      <c r="I831" s="351"/>
      <c r="J831" s="295"/>
      <c r="K831" s="295"/>
      <c r="L831" s="295"/>
      <c r="M831" s="295"/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  <c r="X831" s="295"/>
      <c r="Y831" s="295"/>
      <c r="Z831" s="295"/>
      <c r="AA831" s="295"/>
      <c r="AB831" s="295"/>
      <c r="AC831" s="295"/>
    </row>
    <row r="832">
      <c r="A832" s="295"/>
      <c r="B832" s="350"/>
      <c r="C832" s="350"/>
      <c r="D832" s="295"/>
      <c r="E832" s="295"/>
      <c r="F832" s="295"/>
      <c r="G832" s="295"/>
      <c r="H832" s="295"/>
      <c r="I832" s="351"/>
      <c r="J832" s="295"/>
      <c r="K832" s="295"/>
      <c r="L832" s="295"/>
      <c r="M832" s="295"/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  <c r="X832" s="295"/>
      <c r="Y832" s="295"/>
      <c r="Z832" s="295"/>
      <c r="AA832" s="295"/>
      <c r="AB832" s="295"/>
      <c r="AC832" s="295"/>
    </row>
    <row r="833">
      <c r="A833" s="295"/>
      <c r="B833" s="350"/>
      <c r="C833" s="350"/>
      <c r="D833" s="295"/>
      <c r="E833" s="295"/>
      <c r="F833" s="295"/>
      <c r="G833" s="295"/>
      <c r="H833" s="295"/>
      <c r="I833" s="351"/>
      <c r="J833" s="295"/>
      <c r="K833" s="295"/>
      <c r="L833" s="295"/>
      <c r="M833" s="295"/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  <c r="X833" s="295"/>
      <c r="Y833" s="295"/>
      <c r="Z833" s="295"/>
      <c r="AA833" s="295"/>
      <c r="AB833" s="295"/>
      <c r="AC833" s="295"/>
    </row>
    <row r="834">
      <c r="A834" s="295"/>
      <c r="B834" s="350"/>
      <c r="C834" s="350"/>
      <c r="D834" s="295"/>
      <c r="E834" s="295"/>
      <c r="F834" s="295"/>
      <c r="G834" s="295"/>
      <c r="H834" s="295"/>
      <c r="I834" s="351"/>
      <c r="J834" s="295"/>
      <c r="K834" s="295"/>
      <c r="L834" s="295"/>
      <c r="M834" s="295"/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  <c r="X834" s="295"/>
      <c r="Y834" s="295"/>
      <c r="Z834" s="295"/>
      <c r="AA834" s="295"/>
      <c r="AB834" s="295"/>
      <c r="AC834" s="295"/>
    </row>
    <row r="835">
      <c r="A835" s="295"/>
      <c r="B835" s="350"/>
      <c r="C835" s="350"/>
      <c r="D835" s="295"/>
      <c r="E835" s="295"/>
      <c r="F835" s="295"/>
      <c r="G835" s="295"/>
      <c r="H835" s="295"/>
      <c r="I835" s="351"/>
      <c r="J835" s="295"/>
      <c r="K835" s="295"/>
      <c r="L835" s="295"/>
      <c r="M835" s="295"/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  <c r="X835" s="295"/>
      <c r="Y835" s="295"/>
      <c r="Z835" s="295"/>
      <c r="AA835" s="295"/>
      <c r="AB835" s="295"/>
      <c r="AC835" s="295"/>
    </row>
    <row r="836">
      <c r="A836" s="295"/>
      <c r="B836" s="350"/>
      <c r="C836" s="350"/>
      <c r="D836" s="295"/>
      <c r="E836" s="295"/>
      <c r="F836" s="295"/>
      <c r="G836" s="295"/>
      <c r="H836" s="295"/>
      <c r="I836" s="351"/>
      <c r="J836" s="295"/>
      <c r="K836" s="295"/>
      <c r="L836" s="295"/>
      <c r="M836" s="295"/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  <c r="X836" s="295"/>
      <c r="Y836" s="295"/>
      <c r="Z836" s="295"/>
      <c r="AA836" s="295"/>
      <c r="AB836" s="295"/>
      <c r="AC836" s="295"/>
    </row>
    <row r="837">
      <c r="A837" s="295"/>
      <c r="B837" s="350"/>
      <c r="C837" s="350"/>
      <c r="D837" s="295"/>
      <c r="E837" s="295"/>
      <c r="F837" s="295"/>
      <c r="G837" s="295"/>
      <c r="H837" s="295"/>
      <c r="I837" s="351"/>
      <c r="J837" s="295"/>
      <c r="K837" s="295"/>
      <c r="L837" s="295"/>
      <c r="M837" s="295"/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  <c r="X837" s="295"/>
      <c r="Y837" s="295"/>
      <c r="Z837" s="295"/>
      <c r="AA837" s="295"/>
      <c r="AB837" s="295"/>
      <c r="AC837" s="295"/>
    </row>
    <row r="838">
      <c r="A838" s="295"/>
      <c r="B838" s="350"/>
      <c r="C838" s="350"/>
      <c r="D838" s="295"/>
      <c r="E838" s="295"/>
      <c r="F838" s="295"/>
      <c r="G838" s="295"/>
      <c r="H838" s="295"/>
      <c r="I838" s="351"/>
      <c r="J838" s="295"/>
      <c r="K838" s="295"/>
      <c r="L838" s="295"/>
      <c r="M838" s="295"/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  <c r="X838" s="295"/>
      <c r="Y838" s="295"/>
      <c r="Z838" s="295"/>
      <c r="AA838" s="295"/>
      <c r="AB838" s="295"/>
      <c r="AC838" s="295"/>
    </row>
    <row r="839">
      <c r="A839" s="295"/>
      <c r="B839" s="350"/>
      <c r="C839" s="350"/>
      <c r="D839" s="295"/>
      <c r="E839" s="295"/>
      <c r="F839" s="295"/>
      <c r="G839" s="295"/>
      <c r="H839" s="295"/>
      <c r="I839" s="351"/>
      <c r="J839" s="295"/>
      <c r="K839" s="295"/>
      <c r="L839" s="295"/>
      <c r="M839" s="295"/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  <c r="X839" s="295"/>
      <c r="Y839" s="295"/>
      <c r="Z839" s="295"/>
      <c r="AA839" s="295"/>
      <c r="AB839" s="295"/>
      <c r="AC839" s="295"/>
    </row>
    <row r="840">
      <c r="A840" s="295"/>
      <c r="B840" s="350"/>
      <c r="C840" s="350"/>
      <c r="D840" s="295"/>
      <c r="E840" s="295"/>
      <c r="F840" s="295"/>
      <c r="G840" s="295"/>
      <c r="H840" s="295"/>
      <c r="I840" s="351"/>
      <c r="J840" s="295"/>
      <c r="K840" s="295"/>
      <c r="L840" s="295"/>
      <c r="M840" s="295"/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  <c r="X840" s="295"/>
      <c r="Y840" s="295"/>
      <c r="Z840" s="295"/>
      <c r="AA840" s="295"/>
      <c r="AB840" s="295"/>
      <c r="AC840" s="295"/>
    </row>
    <row r="841">
      <c r="A841" s="295"/>
      <c r="B841" s="350"/>
      <c r="C841" s="350"/>
      <c r="D841" s="295"/>
      <c r="E841" s="295"/>
      <c r="F841" s="295"/>
      <c r="G841" s="295"/>
      <c r="H841" s="295"/>
      <c r="I841" s="351"/>
      <c r="J841" s="295"/>
      <c r="K841" s="295"/>
      <c r="L841" s="295"/>
      <c r="M841" s="295"/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  <c r="X841" s="295"/>
      <c r="Y841" s="295"/>
      <c r="Z841" s="295"/>
      <c r="AA841" s="295"/>
      <c r="AB841" s="295"/>
      <c r="AC841" s="295"/>
    </row>
    <row r="842">
      <c r="A842" s="295"/>
      <c r="B842" s="350"/>
      <c r="C842" s="350"/>
      <c r="D842" s="295"/>
      <c r="E842" s="295"/>
      <c r="F842" s="295"/>
      <c r="G842" s="295"/>
      <c r="H842" s="295"/>
      <c r="I842" s="351"/>
      <c r="J842" s="295"/>
      <c r="K842" s="295"/>
      <c r="L842" s="295"/>
      <c r="M842" s="295"/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  <c r="X842" s="295"/>
      <c r="Y842" s="295"/>
      <c r="Z842" s="295"/>
      <c r="AA842" s="295"/>
      <c r="AB842" s="295"/>
      <c r="AC842" s="295"/>
    </row>
    <row r="843">
      <c r="A843" s="295"/>
      <c r="B843" s="350"/>
      <c r="C843" s="350"/>
      <c r="D843" s="295"/>
      <c r="E843" s="295"/>
      <c r="F843" s="295"/>
      <c r="G843" s="295"/>
      <c r="H843" s="295"/>
      <c r="I843" s="351"/>
      <c r="J843" s="295"/>
      <c r="K843" s="295"/>
      <c r="L843" s="295"/>
      <c r="M843" s="295"/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  <c r="X843" s="295"/>
      <c r="Y843" s="295"/>
      <c r="Z843" s="295"/>
      <c r="AA843" s="295"/>
      <c r="AB843" s="295"/>
      <c r="AC843" s="295"/>
    </row>
    <row r="844">
      <c r="A844" s="295"/>
      <c r="B844" s="350"/>
      <c r="C844" s="350"/>
      <c r="D844" s="295"/>
      <c r="E844" s="295"/>
      <c r="F844" s="295"/>
      <c r="G844" s="295"/>
      <c r="H844" s="295"/>
      <c r="I844" s="351"/>
      <c r="J844" s="295"/>
      <c r="K844" s="295"/>
      <c r="L844" s="295"/>
      <c r="M844" s="295"/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  <c r="X844" s="295"/>
      <c r="Y844" s="295"/>
      <c r="Z844" s="295"/>
      <c r="AA844" s="295"/>
      <c r="AB844" s="295"/>
      <c r="AC844" s="295"/>
    </row>
    <row r="845">
      <c r="A845" s="295"/>
      <c r="B845" s="350"/>
      <c r="C845" s="350"/>
      <c r="D845" s="295"/>
      <c r="E845" s="295"/>
      <c r="F845" s="295"/>
      <c r="G845" s="295"/>
      <c r="H845" s="295"/>
      <c r="I845" s="351"/>
      <c r="J845" s="295"/>
      <c r="K845" s="295"/>
      <c r="L845" s="295"/>
      <c r="M845" s="295"/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  <c r="X845" s="295"/>
      <c r="Y845" s="295"/>
      <c r="Z845" s="295"/>
      <c r="AA845" s="295"/>
      <c r="AB845" s="295"/>
      <c r="AC845" s="295"/>
    </row>
    <row r="846">
      <c r="A846" s="295"/>
      <c r="B846" s="350"/>
      <c r="C846" s="350"/>
      <c r="D846" s="295"/>
      <c r="E846" s="295"/>
      <c r="F846" s="295"/>
      <c r="G846" s="295"/>
      <c r="H846" s="295"/>
      <c r="I846" s="351"/>
      <c r="J846" s="295"/>
      <c r="K846" s="295"/>
      <c r="L846" s="295"/>
      <c r="M846" s="295"/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  <c r="X846" s="295"/>
      <c r="Y846" s="295"/>
      <c r="Z846" s="295"/>
      <c r="AA846" s="295"/>
      <c r="AB846" s="295"/>
      <c r="AC846" s="295"/>
    </row>
    <row r="847">
      <c r="A847" s="295"/>
      <c r="B847" s="350"/>
      <c r="C847" s="350"/>
      <c r="D847" s="295"/>
      <c r="E847" s="295"/>
      <c r="F847" s="295"/>
      <c r="G847" s="295"/>
      <c r="H847" s="295"/>
      <c r="I847" s="351"/>
      <c r="J847" s="295"/>
      <c r="K847" s="295"/>
      <c r="L847" s="295"/>
      <c r="M847" s="295"/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  <c r="X847" s="295"/>
      <c r="Y847" s="295"/>
      <c r="Z847" s="295"/>
      <c r="AA847" s="295"/>
      <c r="AB847" s="295"/>
      <c r="AC847" s="295"/>
    </row>
    <row r="848">
      <c r="A848" s="295"/>
      <c r="B848" s="350"/>
      <c r="C848" s="350"/>
      <c r="D848" s="295"/>
      <c r="E848" s="295"/>
      <c r="F848" s="295"/>
      <c r="G848" s="295"/>
      <c r="H848" s="295"/>
      <c r="I848" s="351"/>
      <c r="J848" s="295"/>
      <c r="K848" s="295"/>
      <c r="L848" s="295"/>
      <c r="M848" s="295"/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  <c r="X848" s="295"/>
      <c r="Y848" s="295"/>
      <c r="Z848" s="295"/>
      <c r="AA848" s="295"/>
      <c r="AB848" s="295"/>
      <c r="AC848" s="295"/>
    </row>
    <row r="849">
      <c r="A849" s="295"/>
      <c r="B849" s="350"/>
      <c r="C849" s="350"/>
      <c r="D849" s="295"/>
      <c r="E849" s="295"/>
      <c r="F849" s="295"/>
      <c r="G849" s="295"/>
      <c r="H849" s="295"/>
      <c r="I849" s="351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  <c r="AA849" s="295"/>
      <c r="AB849" s="295"/>
      <c r="AC849" s="295"/>
    </row>
    <row r="850">
      <c r="A850" s="295"/>
      <c r="B850" s="350"/>
      <c r="C850" s="350"/>
      <c r="D850" s="295"/>
      <c r="E850" s="295"/>
      <c r="F850" s="295"/>
      <c r="G850" s="295"/>
      <c r="H850" s="295"/>
      <c r="I850" s="351"/>
      <c r="J850" s="295"/>
      <c r="K850" s="295"/>
      <c r="L850" s="295"/>
      <c r="M850" s="295"/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  <c r="X850" s="295"/>
      <c r="Y850" s="295"/>
      <c r="Z850" s="295"/>
      <c r="AA850" s="295"/>
      <c r="AB850" s="295"/>
      <c r="AC850" s="295"/>
    </row>
    <row r="851">
      <c r="A851" s="295"/>
      <c r="B851" s="350"/>
      <c r="C851" s="350"/>
      <c r="D851" s="295"/>
      <c r="E851" s="295"/>
      <c r="F851" s="295"/>
      <c r="G851" s="295"/>
      <c r="H851" s="295"/>
      <c r="I851" s="351"/>
      <c r="J851" s="295"/>
      <c r="K851" s="295"/>
      <c r="L851" s="295"/>
      <c r="M851" s="295"/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  <c r="X851" s="295"/>
      <c r="Y851" s="295"/>
      <c r="Z851" s="295"/>
      <c r="AA851" s="295"/>
      <c r="AB851" s="295"/>
      <c r="AC851" s="295"/>
    </row>
    <row r="852">
      <c r="A852" s="295"/>
      <c r="B852" s="350"/>
      <c r="C852" s="350"/>
      <c r="D852" s="295"/>
      <c r="E852" s="295"/>
      <c r="F852" s="295"/>
      <c r="G852" s="295"/>
      <c r="H852" s="295"/>
      <c r="I852" s="351"/>
      <c r="J852" s="295"/>
      <c r="K852" s="295"/>
      <c r="L852" s="295"/>
      <c r="M852" s="295"/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  <c r="X852" s="295"/>
      <c r="Y852" s="295"/>
      <c r="Z852" s="295"/>
      <c r="AA852" s="295"/>
      <c r="AB852" s="295"/>
      <c r="AC852" s="295"/>
    </row>
    <row r="853">
      <c r="A853" s="295"/>
      <c r="B853" s="350"/>
      <c r="C853" s="350"/>
      <c r="D853" s="295"/>
      <c r="E853" s="295"/>
      <c r="F853" s="295"/>
      <c r="G853" s="295"/>
      <c r="H853" s="295"/>
      <c r="I853" s="351"/>
      <c r="J853" s="295"/>
      <c r="K853" s="295"/>
      <c r="L853" s="295"/>
      <c r="M853" s="295"/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  <c r="X853" s="295"/>
      <c r="Y853" s="295"/>
      <c r="Z853" s="295"/>
      <c r="AA853" s="295"/>
      <c r="AB853" s="295"/>
      <c r="AC853" s="295"/>
    </row>
    <row r="854">
      <c r="A854" s="295"/>
      <c r="B854" s="350"/>
      <c r="C854" s="350"/>
      <c r="D854" s="295"/>
      <c r="E854" s="295"/>
      <c r="F854" s="295"/>
      <c r="G854" s="295"/>
      <c r="H854" s="295"/>
      <c r="I854" s="351"/>
      <c r="J854" s="295"/>
      <c r="K854" s="295"/>
      <c r="L854" s="295"/>
      <c r="M854" s="295"/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  <c r="X854" s="295"/>
      <c r="Y854" s="295"/>
      <c r="Z854" s="295"/>
      <c r="AA854" s="295"/>
      <c r="AB854" s="295"/>
      <c r="AC854" s="295"/>
    </row>
    <row r="855">
      <c r="A855" s="295"/>
      <c r="B855" s="350"/>
      <c r="C855" s="350"/>
      <c r="D855" s="295"/>
      <c r="E855" s="295"/>
      <c r="F855" s="295"/>
      <c r="G855" s="295"/>
      <c r="H855" s="295"/>
      <c r="I855" s="351"/>
      <c r="J855" s="295"/>
      <c r="K855" s="295"/>
      <c r="L855" s="295"/>
      <c r="M855" s="295"/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  <c r="X855" s="295"/>
      <c r="Y855" s="295"/>
      <c r="Z855" s="295"/>
      <c r="AA855" s="295"/>
      <c r="AB855" s="295"/>
      <c r="AC855" s="295"/>
    </row>
    <row r="856">
      <c r="A856" s="295"/>
      <c r="B856" s="350"/>
      <c r="C856" s="350"/>
      <c r="D856" s="295"/>
      <c r="E856" s="295"/>
      <c r="F856" s="295"/>
      <c r="G856" s="295"/>
      <c r="H856" s="295"/>
      <c r="I856" s="351"/>
      <c r="J856" s="295"/>
      <c r="K856" s="295"/>
      <c r="L856" s="295"/>
      <c r="M856" s="295"/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  <c r="X856" s="295"/>
      <c r="Y856" s="295"/>
      <c r="Z856" s="295"/>
      <c r="AA856" s="295"/>
      <c r="AB856" s="295"/>
      <c r="AC856" s="295"/>
    </row>
    <row r="857">
      <c r="A857" s="295"/>
      <c r="B857" s="350"/>
      <c r="C857" s="350"/>
      <c r="D857" s="295"/>
      <c r="E857" s="295"/>
      <c r="F857" s="295"/>
      <c r="G857" s="295"/>
      <c r="H857" s="295"/>
      <c r="I857" s="351"/>
      <c r="J857" s="295"/>
      <c r="K857" s="295"/>
      <c r="L857" s="295"/>
      <c r="M857" s="295"/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  <c r="X857" s="295"/>
      <c r="Y857" s="295"/>
      <c r="Z857" s="295"/>
      <c r="AA857" s="295"/>
      <c r="AB857" s="295"/>
      <c r="AC857" s="295"/>
    </row>
    <row r="858">
      <c r="A858" s="295"/>
      <c r="B858" s="350"/>
      <c r="C858" s="350"/>
      <c r="D858" s="295"/>
      <c r="E858" s="295"/>
      <c r="F858" s="295"/>
      <c r="G858" s="295"/>
      <c r="H858" s="295"/>
      <c r="I858" s="351"/>
      <c r="J858" s="295"/>
      <c r="K858" s="295"/>
      <c r="L858" s="295"/>
      <c r="M858" s="295"/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  <c r="X858" s="295"/>
      <c r="Y858" s="295"/>
      <c r="Z858" s="295"/>
      <c r="AA858" s="295"/>
      <c r="AB858" s="295"/>
      <c r="AC858" s="295"/>
    </row>
    <row r="859">
      <c r="A859" s="295"/>
      <c r="B859" s="350"/>
      <c r="C859" s="350"/>
      <c r="D859" s="295"/>
      <c r="E859" s="295"/>
      <c r="F859" s="295"/>
      <c r="G859" s="295"/>
      <c r="H859" s="295"/>
      <c r="I859" s="351"/>
      <c r="J859" s="295"/>
      <c r="K859" s="295"/>
      <c r="L859" s="295"/>
      <c r="M859" s="295"/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  <c r="X859" s="295"/>
      <c r="Y859" s="295"/>
      <c r="Z859" s="295"/>
      <c r="AA859" s="295"/>
      <c r="AB859" s="295"/>
      <c r="AC859" s="295"/>
    </row>
    <row r="860">
      <c r="A860" s="295"/>
      <c r="B860" s="350"/>
      <c r="C860" s="350"/>
      <c r="D860" s="295"/>
      <c r="E860" s="295"/>
      <c r="F860" s="295"/>
      <c r="G860" s="295"/>
      <c r="H860" s="295"/>
      <c r="I860" s="351"/>
      <c r="J860" s="295"/>
      <c r="K860" s="295"/>
      <c r="L860" s="295"/>
      <c r="M860" s="295"/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  <c r="X860" s="295"/>
      <c r="Y860" s="295"/>
      <c r="Z860" s="295"/>
      <c r="AA860" s="295"/>
      <c r="AB860" s="295"/>
      <c r="AC860" s="295"/>
    </row>
    <row r="861">
      <c r="A861" s="295"/>
      <c r="B861" s="350"/>
      <c r="C861" s="350"/>
      <c r="D861" s="295"/>
      <c r="E861" s="295"/>
      <c r="F861" s="295"/>
      <c r="G861" s="295"/>
      <c r="H861" s="295"/>
      <c r="I861" s="351"/>
      <c r="J861" s="295"/>
      <c r="K861" s="295"/>
      <c r="L861" s="295"/>
      <c r="M861" s="295"/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  <c r="X861" s="295"/>
      <c r="Y861" s="295"/>
      <c r="Z861" s="295"/>
      <c r="AA861" s="295"/>
      <c r="AB861" s="295"/>
      <c r="AC861" s="295"/>
    </row>
    <row r="862">
      <c r="A862" s="295"/>
      <c r="B862" s="350"/>
      <c r="C862" s="350"/>
      <c r="D862" s="295"/>
      <c r="E862" s="295"/>
      <c r="F862" s="295"/>
      <c r="G862" s="295"/>
      <c r="H862" s="295"/>
      <c r="I862" s="351"/>
      <c r="J862" s="295"/>
      <c r="K862" s="295"/>
      <c r="L862" s="295"/>
      <c r="M862" s="295"/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  <c r="X862" s="295"/>
      <c r="Y862" s="295"/>
      <c r="Z862" s="295"/>
      <c r="AA862" s="295"/>
      <c r="AB862" s="295"/>
      <c r="AC862" s="295"/>
    </row>
    <row r="863">
      <c r="A863" s="295"/>
      <c r="B863" s="350"/>
      <c r="C863" s="350"/>
      <c r="D863" s="295"/>
      <c r="E863" s="295"/>
      <c r="F863" s="295"/>
      <c r="G863" s="295"/>
      <c r="H863" s="295"/>
      <c r="I863" s="351"/>
      <c r="J863" s="295"/>
      <c r="K863" s="295"/>
      <c r="L863" s="295"/>
      <c r="M863" s="295"/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  <c r="X863" s="295"/>
      <c r="Y863" s="295"/>
      <c r="Z863" s="295"/>
      <c r="AA863" s="295"/>
      <c r="AB863" s="295"/>
      <c r="AC863" s="295"/>
    </row>
    <row r="864">
      <c r="A864" s="295"/>
      <c r="B864" s="350"/>
      <c r="C864" s="350"/>
      <c r="D864" s="295"/>
      <c r="E864" s="295"/>
      <c r="F864" s="295"/>
      <c r="G864" s="295"/>
      <c r="H864" s="295"/>
      <c r="I864" s="351"/>
      <c r="J864" s="295"/>
      <c r="K864" s="295"/>
      <c r="L864" s="295"/>
      <c r="M864" s="295"/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  <c r="X864" s="295"/>
      <c r="Y864" s="295"/>
      <c r="Z864" s="295"/>
      <c r="AA864" s="295"/>
      <c r="AB864" s="295"/>
      <c r="AC864" s="295"/>
    </row>
    <row r="865">
      <c r="A865" s="295"/>
      <c r="B865" s="350"/>
      <c r="C865" s="350"/>
      <c r="D865" s="295"/>
      <c r="E865" s="295"/>
      <c r="F865" s="295"/>
      <c r="G865" s="295"/>
      <c r="H865" s="295"/>
      <c r="I865" s="351"/>
      <c r="J865" s="295"/>
      <c r="K865" s="295"/>
      <c r="L865" s="295"/>
      <c r="M865" s="295"/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  <c r="X865" s="295"/>
      <c r="Y865" s="295"/>
      <c r="Z865" s="295"/>
      <c r="AA865" s="295"/>
      <c r="AB865" s="295"/>
      <c r="AC865" s="295"/>
    </row>
    <row r="866">
      <c r="A866" s="295"/>
      <c r="B866" s="350"/>
      <c r="C866" s="350"/>
      <c r="D866" s="295"/>
      <c r="E866" s="295"/>
      <c r="F866" s="295"/>
      <c r="G866" s="295"/>
      <c r="H866" s="295"/>
      <c r="I866" s="351"/>
      <c r="J866" s="295"/>
      <c r="K866" s="295"/>
      <c r="L866" s="295"/>
      <c r="M866" s="295"/>
      <c r="N866" s="295"/>
      <c r="O866" s="295"/>
      <c r="P866" s="295"/>
      <c r="Q866" s="295"/>
      <c r="R866" s="295"/>
      <c r="S866" s="295"/>
      <c r="T866" s="295"/>
      <c r="U866" s="295"/>
      <c r="V866" s="295"/>
      <c r="W866" s="295"/>
      <c r="X866" s="295"/>
      <c r="Y866" s="295"/>
      <c r="Z866" s="295"/>
      <c r="AA866" s="295"/>
      <c r="AB866" s="295"/>
      <c r="AC866" s="295"/>
    </row>
    <row r="867">
      <c r="A867" s="295"/>
      <c r="B867" s="350"/>
      <c r="C867" s="350"/>
      <c r="D867" s="295"/>
      <c r="E867" s="295"/>
      <c r="F867" s="295"/>
      <c r="G867" s="295"/>
      <c r="H867" s="295"/>
      <c r="I867" s="351"/>
      <c r="J867" s="295"/>
      <c r="K867" s="295"/>
      <c r="L867" s="295"/>
      <c r="M867" s="295"/>
      <c r="N867" s="295"/>
      <c r="O867" s="295"/>
      <c r="P867" s="295"/>
      <c r="Q867" s="295"/>
      <c r="R867" s="295"/>
      <c r="S867" s="295"/>
      <c r="T867" s="295"/>
      <c r="U867" s="295"/>
      <c r="V867" s="295"/>
      <c r="W867" s="295"/>
      <c r="X867" s="295"/>
      <c r="Y867" s="295"/>
      <c r="Z867" s="295"/>
      <c r="AA867" s="295"/>
      <c r="AB867" s="295"/>
      <c r="AC867" s="295"/>
    </row>
    <row r="868">
      <c r="A868" s="295"/>
      <c r="B868" s="350"/>
      <c r="C868" s="350"/>
      <c r="D868" s="295"/>
      <c r="E868" s="295"/>
      <c r="F868" s="295"/>
      <c r="G868" s="295"/>
      <c r="H868" s="295"/>
      <c r="I868" s="351"/>
      <c r="J868" s="295"/>
      <c r="K868" s="295"/>
      <c r="L868" s="295"/>
      <c r="M868" s="295"/>
      <c r="N868" s="295"/>
      <c r="O868" s="295"/>
      <c r="P868" s="295"/>
      <c r="Q868" s="295"/>
      <c r="R868" s="295"/>
      <c r="S868" s="295"/>
      <c r="T868" s="295"/>
      <c r="U868" s="295"/>
      <c r="V868" s="295"/>
      <c r="W868" s="295"/>
      <c r="X868" s="295"/>
      <c r="Y868" s="295"/>
      <c r="Z868" s="295"/>
      <c r="AA868" s="295"/>
      <c r="AB868" s="295"/>
      <c r="AC868" s="295"/>
    </row>
    <row r="869">
      <c r="A869" s="295"/>
      <c r="B869" s="350"/>
      <c r="C869" s="350"/>
      <c r="D869" s="295"/>
      <c r="E869" s="295"/>
      <c r="F869" s="295"/>
      <c r="G869" s="295"/>
      <c r="H869" s="295"/>
      <c r="I869" s="351"/>
      <c r="J869" s="295"/>
      <c r="K869" s="295"/>
      <c r="L869" s="295"/>
      <c r="M869" s="295"/>
      <c r="N869" s="295"/>
      <c r="O869" s="295"/>
      <c r="P869" s="295"/>
      <c r="Q869" s="295"/>
      <c r="R869" s="295"/>
      <c r="S869" s="295"/>
      <c r="T869" s="295"/>
      <c r="U869" s="295"/>
      <c r="V869" s="295"/>
      <c r="W869" s="295"/>
      <c r="X869" s="295"/>
      <c r="Y869" s="295"/>
      <c r="Z869" s="295"/>
      <c r="AA869" s="295"/>
      <c r="AB869" s="295"/>
      <c r="AC869" s="295"/>
    </row>
    <row r="870">
      <c r="A870" s="295"/>
      <c r="B870" s="350"/>
      <c r="C870" s="350"/>
      <c r="D870" s="295"/>
      <c r="E870" s="295"/>
      <c r="F870" s="295"/>
      <c r="G870" s="295"/>
      <c r="H870" s="295"/>
      <c r="I870" s="351"/>
      <c r="J870" s="295"/>
      <c r="K870" s="295"/>
      <c r="L870" s="295"/>
      <c r="M870" s="295"/>
      <c r="N870" s="295"/>
      <c r="O870" s="295"/>
      <c r="P870" s="295"/>
      <c r="Q870" s="295"/>
      <c r="R870" s="295"/>
      <c r="S870" s="295"/>
      <c r="T870" s="295"/>
      <c r="U870" s="295"/>
      <c r="V870" s="295"/>
      <c r="W870" s="295"/>
      <c r="X870" s="295"/>
      <c r="Y870" s="295"/>
      <c r="Z870" s="295"/>
      <c r="AA870" s="295"/>
      <c r="AB870" s="295"/>
      <c r="AC870" s="295"/>
    </row>
    <row r="871">
      <c r="A871" s="295"/>
      <c r="B871" s="350"/>
      <c r="C871" s="350"/>
      <c r="D871" s="295"/>
      <c r="E871" s="295"/>
      <c r="F871" s="295"/>
      <c r="G871" s="295"/>
      <c r="H871" s="295"/>
      <c r="I871" s="351"/>
      <c r="J871" s="295"/>
      <c r="K871" s="295"/>
      <c r="L871" s="295"/>
      <c r="M871" s="295"/>
      <c r="N871" s="295"/>
      <c r="O871" s="295"/>
      <c r="P871" s="295"/>
      <c r="Q871" s="295"/>
      <c r="R871" s="295"/>
      <c r="S871" s="295"/>
      <c r="T871" s="295"/>
      <c r="U871" s="295"/>
      <c r="V871" s="295"/>
      <c r="W871" s="295"/>
      <c r="X871" s="295"/>
      <c r="Y871" s="295"/>
      <c r="Z871" s="295"/>
      <c r="AA871" s="295"/>
      <c r="AB871" s="295"/>
      <c r="AC871" s="295"/>
    </row>
    <row r="872">
      <c r="A872" s="295"/>
      <c r="B872" s="350"/>
      <c r="C872" s="350"/>
      <c r="D872" s="295"/>
      <c r="E872" s="295"/>
      <c r="F872" s="295"/>
      <c r="G872" s="295"/>
      <c r="H872" s="295"/>
      <c r="I872" s="351"/>
      <c r="J872" s="295"/>
      <c r="K872" s="295"/>
      <c r="L872" s="295"/>
      <c r="M872" s="295"/>
      <c r="N872" s="295"/>
      <c r="O872" s="295"/>
      <c r="P872" s="295"/>
      <c r="Q872" s="295"/>
      <c r="R872" s="295"/>
      <c r="S872" s="295"/>
      <c r="T872" s="295"/>
      <c r="U872" s="295"/>
      <c r="V872" s="295"/>
      <c r="W872" s="295"/>
      <c r="X872" s="295"/>
      <c r="Y872" s="295"/>
      <c r="Z872" s="295"/>
      <c r="AA872" s="295"/>
      <c r="AB872" s="295"/>
      <c r="AC872" s="295"/>
    </row>
    <row r="873">
      <c r="A873" s="295"/>
      <c r="B873" s="350"/>
      <c r="C873" s="350"/>
      <c r="D873" s="295"/>
      <c r="E873" s="295"/>
      <c r="F873" s="295"/>
      <c r="G873" s="295"/>
      <c r="H873" s="295"/>
      <c r="I873" s="351"/>
      <c r="J873" s="295"/>
      <c r="K873" s="295"/>
      <c r="L873" s="295"/>
      <c r="M873" s="295"/>
      <c r="N873" s="295"/>
      <c r="O873" s="295"/>
      <c r="P873" s="295"/>
      <c r="Q873" s="295"/>
      <c r="R873" s="295"/>
      <c r="S873" s="295"/>
      <c r="T873" s="295"/>
      <c r="U873" s="295"/>
      <c r="V873" s="295"/>
      <c r="W873" s="295"/>
      <c r="X873" s="295"/>
      <c r="Y873" s="295"/>
      <c r="Z873" s="295"/>
      <c r="AA873" s="295"/>
      <c r="AB873" s="295"/>
      <c r="AC873" s="295"/>
    </row>
    <row r="874">
      <c r="A874" s="295"/>
      <c r="B874" s="350"/>
      <c r="C874" s="350"/>
      <c r="D874" s="295"/>
      <c r="E874" s="295"/>
      <c r="F874" s="295"/>
      <c r="G874" s="295"/>
      <c r="H874" s="295"/>
      <c r="I874" s="351"/>
      <c r="J874" s="295"/>
      <c r="K874" s="295"/>
      <c r="L874" s="295"/>
      <c r="M874" s="295"/>
      <c r="N874" s="295"/>
      <c r="O874" s="295"/>
      <c r="P874" s="295"/>
      <c r="Q874" s="295"/>
      <c r="R874" s="295"/>
      <c r="S874" s="295"/>
      <c r="T874" s="295"/>
      <c r="U874" s="295"/>
      <c r="V874" s="295"/>
      <c r="W874" s="295"/>
      <c r="X874" s="295"/>
      <c r="Y874" s="295"/>
      <c r="Z874" s="295"/>
      <c r="AA874" s="295"/>
      <c r="AB874" s="295"/>
      <c r="AC874" s="295"/>
    </row>
    <row r="875">
      <c r="A875" s="295"/>
      <c r="B875" s="350"/>
      <c r="C875" s="350"/>
      <c r="D875" s="295"/>
      <c r="E875" s="295"/>
      <c r="F875" s="295"/>
      <c r="G875" s="295"/>
      <c r="H875" s="295"/>
      <c r="I875" s="351"/>
      <c r="J875" s="295"/>
      <c r="K875" s="295"/>
      <c r="L875" s="295"/>
      <c r="M875" s="295"/>
      <c r="N875" s="295"/>
      <c r="O875" s="295"/>
      <c r="P875" s="295"/>
      <c r="Q875" s="295"/>
      <c r="R875" s="295"/>
      <c r="S875" s="295"/>
      <c r="T875" s="295"/>
      <c r="U875" s="295"/>
      <c r="V875" s="295"/>
      <c r="W875" s="295"/>
      <c r="X875" s="295"/>
      <c r="Y875" s="295"/>
      <c r="Z875" s="295"/>
      <c r="AA875" s="295"/>
      <c r="AB875" s="295"/>
      <c r="AC875" s="295"/>
    </row>
    <row r="876">
      <c r="A876" s="295"/>
      <c r="B876" s="350"/>
      <c r="C876" s="350"/>
      <c r="D876" s="295"/>
      <c r="E876" s="295"/>
      <c r="F876" s="295"/>
      <c r="G876" s="295"/>
      <c r="H876" s="295"/>
      <c r="I876" s="351"/>
      <c r="J876" s="295"/>
      <c r="K876" s="295"/>
      <c r="L876" s="295"/>
      <c r="M876" s="295"/>
      <c r="N876" s="295"/>
      <c r="O876" s="295"/>
      <c r="P876" s="295"/>
      <c r="Q876" s="295"/>
      <c r="R876" s="295"/>
      <c r="S876" s="295"/>
      <c r="T876" s="295"/>
      <c r="U876" s="295"/>
      <c r="V876" s="295"/>
      <c r="W876" s="295"/>
      <c r="X876" s="295"/>
      <c r="Y876" s="295"/>
      <c r="Z876" s="295"/>
      <c r="AA876" s="295"/>
      <c r="AB876" s="295"/>
      <c r="AC876" s="295"/>
    </row>
    <row r="877">
      <c r="A877" s="295"/>
      <c r="B877" s="350"/>
      <c r="C877" s="350"/>
      <c r="D877" s="295"/>
      <c r="E877" s="295"/>
      <c r="F877" s="295"/>
      <c r="G877" s="295"/>
      <c r="H877" s="295"/>
      <c r="I877" s="351"/>
      <c r="J877" s="295"/>
      <c r="K877" s="295"/>
      <c r="L877" s="295"/>
      <c r="M877" s="295"/>
      <c r="N877" s="295"/>
      <c r="O877" s="295"/>
      <c r="P877" s="295"/>
      <c r="Q877" s="295"/>
      <c r="R877" s="295"/>
      <c r="S877" s="295"/>
      <c r="T877" s="295"/>
      <c r="U877" s="295"/>
      <c r="V877" s="295"/>
      <c r="W877" s="295"/>
      <c r="X877" s="295"/>
      <c r="Y877" s="295"/>
      <c r="Z877" s="295"/>
      <c r="AA877" s="295"/>
      <c r="AB877" s="295"/>
      <c r="AC877" s="295"/>
    </row>
    <row r="878">
      <c r="A878" s="295"/>
      <c r="B878" s="350"/>
      <c r="C878" s="350"/>
      <c r="D878" s="295"/>
      <c r="E878" s="295"/>
      <c r="F878" s="295"/>
      <c r="G878" s="295"/>
      <c r="H878" s="295"/>
      <c r="I878" s="351"/>
      <c r="J878" s="295"/>
      <c r="K878" s="295"/>
      <c r="L878" s="295"/>
      <c r="M878" s="295"/>
      <c r="N878" s="295"/>
      <c r="O878" s="295"/>
      <c r="P878" s="295"/>
      <c r="Q878" s="295"/>
      <c r="R878" s="295"/>
      <c r="S878" s="295"/>
      <c r="T878" s="295"/>
      <c r="U878" s="295"/>
      <c r="V878" s="295"/>
      <c r="W878" s="295"/>
      <c r="X878" s="295"/>
      <c r="Y878" s="295"/>
      <c r="Z878" s="295"/>
      <c r="AA878" s="295"/>
      <c r="AB878" s="295"/>
      <c r="AC878" s="295"/>
    </row>
    <row r="879">
      <c r="A879" s="295"/>
      <c r="B879" s="350"/>
      <c r="C879" s="350"/>
      <c r="D879" s="295"/>
      <c r="E879" s="295"/>
      <c r="F879" s="295"/>
      <c r="G879" s="295"/>
      <c r="H879" s="295"/>
      <c r="I879" s="351"/>
      <c r="J879" s="295"/>
      <c r="K879" s="295"/>
      <c r="L879" s="295"/>
      <c r="M879" s="295"/>
      <c r="N879" s="295"/>
      <c r="O879" s="295"/>
      <c r="P879" s="295"/>
      <c r="Q879" s="295"/>
      <c r="R879" s="295"/>
      <c r="S879" s="295"/>
      <c r="T879" s="295"/>
      <c r="U879" s="295"/>
      <c r="V879" s="295"/>
      <c r="W879" s="295"/>
      <c r="X879" s="295"/>
      <c r="Y879" s="295"/>
      <c r="Z879" s="295"/>
      <c r="AA879" s="295"/>
      <c r="AB879" s="295"/>
      <c r="AC879" s="295"/>
    </row>
    <row r="880">
      <c r="A880" s="295"/>
      <c r="B880" s="350"/>
      <c r="C880" s="350"/>
      <c r="D880" s="295"/>
      <c r="E880" s="295"/>
      <c r="F880" s="295"/>
      <c r="G880" s="295"/>
      <c r="H880" s="295"/>
      <c r="I880" s="351"/>
      <c r="J880" s="295"/>
      <c r="K880" s="295"/>
      <c r="L880" s="295"/>
      <c r="M880" s="295"/>
      <c r="N880" s="295"/>
      <c r="O880" s="295"/>
      <c r="P880" s="295"/>
      <c r="Q880" s="295"/>
      <c r="R880" s="295"/>
      <c r="S880" s="295"/>
      <c r="T880" s="295"/>
      <c r="U880" s="295"/>
      <c r="V880" s="295"/>
      <c r="W880" s="295"/>
      <c r="X880" s="295"/>
      <c r="Y880" s="295"/>
      <c r="Z880" s="295"/>
      <c r="AA880" s="295"/>
      <c r="AB880" s="295"/>
      <c r="AC880" s="295"/>
    </row>
    <row r="881">
      <c r="A881" s="295"/>
      <c r="B881" s="350"/>
      <c r="C881" s="350"/>
      <c r="D881" s="295"/>
      <c r="E881" s="295"/>
      <c r="F881" s="295"/>
      <c r="G881" s="295"/>
      <c r="H881" s="295"/>
      <c r="I881" s="351"/>
      <c r="J881" s="295"/>
      <c r="K881" s="295"/>
      <c r="L881" s="295"/>
      <c r="M881" s="295"/>
      <c r="N881" s="295"/>
      <c r="O881" s="295"/>
      <c r="P881" s="295"/>
      <c r="Q881" s="295"/>
      <c r="R881" s="295"/>
      <c r="S881" s="295"/>
      <c r="T881" s="295"/>
      <c r="U881" s="295"/>
      <c r="V881" s="295"/>
      <c r="W881" s="295"/>
      <c r="X881" s="295"/>
      <c r="Y881" s="295"/>
      <c r="Z881" s="295"/>
      <c r="AA881" s="295"/>
      <c r="AB881" s="295"/>
      <c r="AC881" s="295"/>
    </row>
    <row r="882">
      <c r="A882" s="295"/>
      <c r="B882" s="350"/>
      <c r="C882" s="350"/>
      <c r="D882" s="295"/>
      <c r="E882" s="295"/>
      <c r="F882" s="295"/>
      <c r="G882" s="295"/>
      <c r="H882" s="295"/>
      <c r="I882" s="351"/>
      <c r="J882" s="295"/>
      <c r="K882" s="295"/>
      <c r="L882" s="295"/>
      <c r="M882" s="295"/>
      <c r="N882" s="295"/>
      <c r="O882" s="295"/>
      <c r="P882" s="295"/>
      <c r="Q882" s="295"/>
      <c r="R882" s="295"/>
      <c r="S882" s="295"/>
      <c r="T882" s="295"/>
      <c r="U882" s="295"/>
      <c r="V882" s="295"/>
      <c r="W882" s="295"/>
      <c r="X882" s="295"/>
      <c r="Y882" s="295"/>
      <c r="Z882" s="295"/>
      <c r="AA882" s="295"/>
      <c r="AB882" s="295"/>
      <c r="AC882" s="295"/>
    </row>
    <row r="883">
      <c r="A883" s="295"/>
      <c r="B883" s="350"/>
      <c r="C883" s="350"/>
      <c r="D883" s="295"/>
      <c r="E883" s="295"/>
      <c r="F883" s="295"/>
      <c r="G883" s="295"/>
      <c r="H883" s="295"/>
      <c r="I883" s="351"/>
      <c r="J883" s="295"/>
      <c r="K883" s="295"/>
      <c r="L883" s="295"/>
      <c r="M883" s="295"/>
      <c r="N883" s="295"/>
      <c r="O883" s="295"/>
      <c r="P883" s="295"/>
      <c r="Q883" s="295"/>
      <c r="R883" s="295"/>
      <c r="S883" s="295"/>
      <c r="T883" s="295"/>
      <c r="U883" s="295"/>
      <c r="V883" s="295"/>
      <c r="W883" s="295"/>
      <c r="X883" s="295"/>
      <c r="Y883" s="295"/>
      <c r="Z883" s="295"/>
      <c r="AA883" s="295"/>
      <c r="AB883" s="295"/>
      <c r="AC883" s="295"/>
    </row>
    <row r="884">
      <c r="A884" s="295"/>
      <c r="B884" s="350"/>
      <c r="C884" s="350"/>
      <c r="D884" s="295"/>
      <c r="E884" s="295"/>
      <c r="F884" s="295"/>
      <c r="G884" s="295"/>
      <c r="H884" s="295"/>
      <c r="I884" s="351"/>
      <c r="J884" s="295"/>
      <c r="K884" s="295"/>
      <c r="L884" s="295"/>
      <c r="M884" s="295"/>
      <c r="N884" s="295"/>
      <c r="O884" s="295"/>
      <c r="P884" s="295"/>
      <c r="Q884" s="295"/>
      <c r="R884" s="295"/>
      <c r="S884" s="295"/>
      <c r="T884" s="295"/>
      <c r="U884" s="295"/>
      <c r="V884" s="295"/>
      <c r="W884" s="295"/>
      <c r="X884" s="295"/>
      <c r="Y884" s="295"/>
      <c r="Z884" s="295"/>
      <c r="AA884" s="295"/>
      <c r="AB884" s="295"/>
      <c r="AC884" s="295"/>
    </row>
    <row r="885">
      <c r="A885" s="295"/>
      <c r="B885" s="350"/>
      <c r="C885" s="350"/>
      <c r="D885" s="295"/>
      <c r="E885" s="295"/>
      <c r="F885" s="295"/>
      <c r="G885" s="295"/>
      <c r="H885" s="295"/>
      <c r="I885" s="351"/>
      <c r="J885" s="295"/>
      <c r="K885" s="295"/>
      <c r="L885" s="295"/>
      <c r="M885" s="295"/>
      <c r="N885" s="295"/>
      <c r="O885" s="295"/>
      <c r="P885" s="295"/>
      <c r="Q885" s="295"/>
      <c r="R885" s="295"/>
      <c r="S885" s="295"/>
      <c r="T885" s="295"/>
      <c r="U885" s="295"/>
      <c r="V885" s="295"/>
      <c r="W885" s="295"/>
      <c r="X885" s="295"/>
      <c r="Y885" s="295"/>
      <c r="Z885" s="295"/>
      <c r="AA885" s="295"/>
      <c r="AB885" s="295"/>
      <c r="AC885" s="295"/>
    </row>
    <row r="886">
      <c r="A886" s="295"/>
      <c r="B886" s="350"/>
      <c r="C886" s="350"/>
      <c r="D886" s="295"/>
      <c r="E886" s="295"/>
      <c r="F886" s="295"/>
      <c r="G886" s="295"/>
      <c r="H886" s="295"/>
      <c r="I886" s="351"/>
      <c r="J886" s="295"/>
      <c r="K886" s="295"/>
      <c r="L886" s="295"/>
      <c r="M886" s="295"/>
      <c r="N886" s="295"/>
      <c r="O886" s="295"/>
      <c r="P886" s="295"/>
      <c r="Q886" s="295"/>
      <c r="R886" s="295"/>
      <c r="S886" s="295"/>
      <c r="T886" s="295"/>
      <c r="U886" s="295"/>
      <c r="V886" s="295"/>
      <c r="W886" s="295"/>
      <c r="X886" s="295"/>
      <c r="Y886" s="295"/>
      <c r="Z886" s="295"/>
      <c r="AA886" s="295"/>
      <c r="AB886" s="295"/>
      <c r="AC886" s="295"/>
    </row>
    <row r="887">
      <c r="A887" s="295"/>
      <c r="B887" s="350"/>
      <c r="C887" s="350"/>
      <c r="D887" s="295"/>
      <c r="E887" s="295"/>
      <c r="F887" s="295"/>
      <c r="G887" s="295"/>
      <c r="H887" s="295"/>
      <c r="I887" s="351"/>
      <c r="J887" s="295"/>
      <c r="K887" s="295"/>
      <c r="L887" s="295"/>
      <c r="M887" s="295"/>
      <c r="N887" s="295"/>
      <c r="O887" s="295"/>
      <c r="P887" s="295"/>
      <c r="Q887" s="295"/>
      <c r="R887" s="295"/>
      <c r="S887" s="295"/>
      <c r="T887" s="295"/>
      <c r="U887" s="295"/>
      <c r="V887" s="295"/>
      <c r="W887" s="295"/>
      <c r="X887" s="295"/>
      <c r="Y887" s="295"/>
      <c r="Z887" s="295"/>
      <c r="AA887" s="295"/>
      <c r="AB887" s="295"/>
      <c r="AC887" s="295"/>
    </row>
    <row r="888">
      <c r="A888" s="295"/>
      <c r="B888" s="350"/>
      <c r="C888" s="350"/>
      <c r="D888" s="295"/>
      <c r="E888" s="295"/>
      <c r="F888" s="295"/>
      <c r="G888" s="295"/>
      <c r="H888" s="295"/>
      <c r="I888" s="351"/>
      <c r="J888" s="295"/>
      <c r="K888" s="295"/>
      <c r="L888" s="295"/>
      <c r="M888" s="295"/>
      <c r="N888" s="295"/>
      <c r="O888" s="295"/>
      <c r="P888" s="295"/>
      <c r="Q888" s="295"/>
      <c r="R888" s="295"/>
      <c r="S888" s="295"/>
      <c r="T888" s="295"/>
      <c r="U888" s="295"/>
      <c r="V888" s="295"/>
      <c r="W888" s="295"/>
      <c r="X888" s="295"/>
      <c r="Y888" s="295"/>
      <c r="Z888" s="295"/>
      <c r="AA888" s="295"/>
      <c r="AB888" s="295"/>
      <c r="AC888" s="295"/>
    </row>
    <row r="889">
      <c r="A889" s="295"/>
      <c r="B889" s="350"/>
      <c r="C889" s="350"/>
      <c r="D889" s="295"/>
      <c r="E889" s="295"/>
      <c r="F889" s="295"/>
      <c r="G889" s="295"/>
      <c r="H889" s="295"/>
      <c r="I889" s="351"/>
      <c r="J889" s="295"/>
      <c r="K889" s="295"/>
      <c r="L889" s="295"/>
      <c r="M889" s="295"/>
      <c r="N889" s="295"/>
      <c r="O889" s="295"/>
      <c r="P889" s="295"/>
      <c r="Q889" s="295"/>
      <c r="R889" s="295"/>
      <c r="S889" s="295"/>
      <c r="T889" s="295"/>
      <c r="U889" s="295"/>
      <c r="V889" s="295"/>
      <c r="W889" s="295"/>
      <c r="X889" s="295"/>
      <c r="Y889" s="295"/>
      <c r="Z889" s="295"/>
      <c r="AA889" s="295"/>
      <c r="AB889" s="295"/>
      <c r="AC889" s="295"/>
    </row>
    <row r="890">
      <c r="A890" s="295"/>
      <c r="B890" s="350"/>
      <c r="C890" s="350"/>
      <c r="D890" s="295"/>
      <c r="E890" s="295"/>
      <c r="F890" s="295"/>
      <c r="G890" s="295"/>
      <c r="H890" s="295"/>
      <c r="I890" s="351"/>
      <c r="J890" s="295"/>
      <c r="K890" s="295"/>
      <c r="L890" s="295"/>
      <c r="M890" s="295"/>
      <c r="N890" s="295"/>
      <c r="O890" s="295"/>
      <c r="P890" s="295"/>
      <c r="Q890" s="295"/>
      <c r="R890" s="295"/>
      <c r="S890" s="295"/>
      <c r="T890" s="295"/>
      <c r="U890" s="295"/>
      <c r="V890" s="295"/>
      <c r="W890" s="295"/>
      <c r="X890" s="295"/>
      <c r="Y890" s="295"/>
      <c r="Z890" s="295"/>
      <c r="AA890" s="295"/>
      <c r="AB890" s="295"/>
      <c r="AC890" s="295"/>
    </row>
    <row r="891">
      <c r="A891" s="295"/>
      <c r="B891" s="350"/>
      <c r="C891" s="350"/>
      <c r="D891" s="295"/>
      <c r="E891" s="295"/>
      <c r="F891" s="295"/>
      <c r="G891" s="295"/>
      <c r="H891" s="295"/>
      <c r="I891" s="351"/>
      <c r="J891" s="295"/>
      <c r="K891" s="295"/>
      <c r="L891" s="295"/>
      <c r="M891" s="295"/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  <c r="X891" s="295"/>
      <c r="Y891" s="295"/>
      <c r="Z891" s="295"/>
      <c r="AA891" s="295"/>
      <c r="AB891" s="295"/>
      <c r="AC891" s="295"/>
    </row>
    <row r="892">
      <c r="A892" s="295"/>
      <c r="B892" s="350"/>
      <c r="C892" s="350"/>
      <c r="D892" s="295"/>
      <c r="E892" s="295"/>
      <c r="F892" s="295"/>
      <c r="G892" s="295"/>
      <c r="H892" s="295"/>
      <c r="I892" s="351"/>
      <c r="J892" s="295"/>
      <c r="K892" s="295"/>
      <c r="L892" s="295"/>
      <c r="M892" s="295"/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  <c r="X892" s="295"/>
      <c r="Y892" s="295"/>
      <c r="Z892" s="295"/>
      <c r="AA892" s="295"/>
      <c r="AB892" s="295"/>
      <c r="AC892" s="295"/>
    </row>
    <row r="893">
      <c r="A893" s="295"/>
      <c r="B893" s="350"/>
      <c r="C893" s="350"/>
      <c r="D893" s="295"/>
      <c r="E893" s="295"/>
      <c r="F893" s="295"/>
      <c r="G893" s="295"/>
      <c r="H893" s="295"/>
      <c r="I893" s="351"/>
      <c r="J893" s="295"/>
      <c r="K893" s="295"/>
      <c r="L893" s="295"/>
      <c r="M893" s="295"/>
      <c r="N893" s="295"/>
      <c r="O893" s="295"/>
      <c r="P893" s="295"/>
      <c r="Q893" s="295"/>
      <c r="R893" s="295"/>
      <c r="S893" s="295"/>
      <c r="T893" s="295"/>
      <c r="U893" s="295"/>
      <c r="V893" s="295"/>
      <c r="W893" s="295"/>
      <c r="X893" s="295"/>
      <c r="Y893" s="295"/>
      <c r="Z893" s="295"/>
      <c r="AA893" s="295"/>
      <c r="AB893" s="295"/>
      <c r="AC893" s="295"/>
    </row>
    <row r="894">
      <c r="A894" s="295"/>
      <c r="B894" s="350"/>
      <c r="C894" s="350"/>
      <c r="D894" s="295"/>
      <c r="E894" s="295"/>
      <c r="F894" s="295"/>
      <c r="G894" s="295"/>
      <c r="H894" s="295"/>
      <c r="I894" s="351"/>
      <c r="J894" s="295"/>
      <c r="K894" s="295"/>
      <c r="L894" s="295"/>
      <c r="M894" s="295"/>
      <c r="N894" s="295"/>
      <c r="O894" s="295"/>
      <c r="P894" s="295"/>
      <c r="Q894" s="295"/>
      <c r="R894" s="295"/>
      <c r="S894" s="295"/>
      <c r="T894" s="295"/>
      <c r="U894" s="295"/>
      <c r="V894" s="295"/>
      <c r="W894" s="295"/>
      <c r="X894" s="295"/>
      <c r="Y894" s="295"/>
      <c r="Z894" s="295"/>
      <c r="AA894" s="295"/>
      <c r="AB894" s="295"/>
      <c r="AC894" s="295"/>
    </row>
    <row r="895">
      <c r="A895" s="295"/>
      <c r="B895" s="350"/>
      <c r="C895" s="350"/>
      <c r="D895" s="295"/>
      <c r="E895" s="295"/>
      <c r="F895" s="295"/>
      <c r="G895" s="295"/>
      <c r="H895" s="295"/>
      <c r="I895" s="351"/>
      <c r="J895" s="295"/>
      <c r="K895" s="295"/>
      <c r="L895" s="295"/>
      <c r="M895" s="295"/>
      <c r="N895" s="295"/>
      <c r="O895" s="295"/>
      <c r="P895" s="295"/>
      <c r="Q895" s="295"/>
      <c r="R895" s="295"/>
      <c r="S895" s="295"/>
      <c r="T895" s="295"/>
      <c r="U895" s="295"/>
      <c r="V895" s="295"/>
      <c r="W895" s="295"/>
      <c r="X895" s="295"/>
      <c r="Y895" s="295"/>
      <c r="Z895" s="295"/>
      <c r="AA895" s="295"/>
      <c r="AB895" s="295"/>
      <c r="AC895" s="295"/>
    </row>
    <row r="896">
      <c r="A896" s="295"/>
      <c r="B896" s="350"/>
      <c r="C896" s="350"/>
      <c r="D896" s="295"/>
      <c r="E896" s="295"/>
      <c r="F896" s="295"/>
      <c r="G896" s="295"/>
      <c r="H896" s="295"/>
      <c r="I896" s="351"/>
      <c r="J896" s="295"/>
      <c r="K896" s="295"/>
      <c r="L896" s="295"/>
      <c r="M896" s="295"/>
      <c r="N896" s="295"/>
      <c r="O896" s="295"/>
      <c r="P896" s="295"/>
      <c r="Q896" s="295"/>
      <c r="R896" s="295"/>
      <c r="S896" s="295"/>
      <c r="T896" s="295"/>
      <c r="U896" s="295"/>
      <c r="V896" s="295"/>
      <c r="W896" s="295"/>
      <c r="X896" s="295"/>
      <c r="Y896" s="295"/>
      <c r="Z896" s="295"/>
      <c r="AA896" s="295"/>
      <c r="AB896" s="295"/>
      <c r="AC896" s="295"/>
    </row>
    <row r="897">
      <c r="A897" s="295"/>
      <c r="B897" s="350"/>
      <c r="C897" s="350"/>
      <c r="D897" s="295"/>
      <c r="E897" s="295"/>
      <c r="F897" s="295"/>
      <c r="G897" s="295"/>
      <c r="H897" s="295"/>
      <c r="I897" s="351"/>
      <c r="J897" s="295"/>
      <c r="K897" s="295"/>
      <c r="L897" s="295"/>
      <c r="M897" s="295"/>
      <c r="N897" s="295"/>
      <c r="O897" s="295"/>
      <c r="P897" s="295"/>
      <c r="Q897" s="295"/>
      <c r="R897" s="295"/>
      <c r="S897" s="295"/>
      <c r="T897" s="295"/>
      <c r="U897" s="295"/>
      <c r="V897" s="295"/>
      <c r="W897" s="295"/>
      <c r="X897" s="295"/>
      <c r="Y897" s="295"/>
      <c r="Z897" s="295"/>
      <c r="AA897" s="295"/>
      <c r="AB897" s="295"/>
      <c r="AC897" s="295"/>
    </row>
    <row r="898">
      <c r="A898" s="295"/>
      <c r="B898" s="350"/>
      <c r="C898" s="350"/>
      <c r="D898" s="295"/>
      <c r="E898" s="295"/>
      <c r="F898" s="295"/>
      <c r="G898" s="295"/>
      <c r="H898" s="295"/>
      <c r="I898" s="351"/>
      <c r="J898" s="295"/>
      <c r="K898" s="295"/>
      <c r="L898" s="295"/>
      <c r="M898" s="295"/>
      <c r="N898" s="295"/>
      <c r="O898" s="295"/>
      <c r="P898" s="295"/>
      <c r="Q898" s="295"/>
      <c r="R898" s="295"/>
      <c r="S898" s="295"/>
      <c r="T898" s="295"/>
      <c r="U898" s="295"/>
      <c r="V898" s="295"/>
      <c r="W898" s="295"/>
      <c r="X898" s="295"/>
      <c r="Y898" s="295"/>
      <c r="Z898" s="295"/>
      <c r="AA898" s="295"/>
      <c r="AB898" s="295"/>
      <c r="AC898" s="295"/>
    </row>
    <row r="899">
      <c r="A899" s="295"/>
      <c r="B899" s="350"/>
      <c r="C899" s="350"/>
      <c r="D899" s="295"/>
      <c r="E899" s="295"/>
      <c r="F899" s="295"/>
      <c r="G899" s="295"/>
      <c r="H899" s="295"/>
      <c r="I899" s="351"/>
      <c r="J899" s="295"/>
      <c r="K899" s="295"/>
      <c r="L899" s="295"/>
      <c r="M899" s="295"/>
      <c r="N899" s="295"/>
      <c r="O899" s="295"/>
      <c r="P899" s="295"/>
      <c r="Q899" s="295"/>
      <c r="R899" s="295"/>
      <c r="S899" s="295"/>
      <c r="T899" s="295"/>
      <c r="U899" s="295"/>
      <c r="V899" s="295"/>
      <c r="W899" s="295"/>
      <c r="X899" s="295"/>
      <c r="Y899" s="295"/>
      <c r="Z899" s="295"/>
      <c r="AA899" s="295"/>
      <c r="AB899" s="295"/>
      <c r="AC899" s="295"/>
    </row>
    <row r="900">
      <c r="A900" s="295"/>
      <c r="B900" s="350"/>
      <c r="C900" s="350"/>
      <c r="D900" s="295"/>
      <c r="E900" s="295"/>
      <c r="F900" s="295"/>
      <c r="G900" s="295"/>
      <c r="H900" s="295"/>
      <c r="I900" s="351"/>
      <c r="J900" s="295"/>
      <c r="K900" s="295"/>
      <c r="L900" s="295"/>
      <c r="M900" s="295"/>
      <c r="N900" s="295"/>
      <c r="O900" s="295"/>
      <c r="P900" s="295"/>
      <c r="Q900" s="295"/>
      <c r="R900" s="295"/>
      <c r="S900" s="295"/>
      <c r="T900" s="295"/>
      <c r="U900" s="295"/>
      <c r="V900" s="295"/>
      <c r="W900" s="295"/>
      <c r="X900" s="295"/>
      <c r="Y900" s="295"/>
      <c r="Z900" s="295"/>
      <c r="AA900" s="295"/>
      <c r="AB900" s="295"/>
      <c r="AC900" s="295"/>
    </row>
    <row r="901">
      <c r="A901" s="295"/>
      <c r="B901" s="350"/>
      <c r="C901" s="350"/>
      <c r="D901" s="295"/>
      <c r="E901" s="295"/>
      <c r="F901" s="295"/>
      <c r="G901" s="295"/>
      <c r="H901" s="295"/>
      <c r="I901" s="351"/>
      <c r="J901" s="295"/>
      <c r="K901" s="295"/>
      <c r="L901" s="295"/>
      <c r="M901" s="295"/>
      <c r="N901" s="295"/>
      <c r="O901" s="295"/>
      <c r="P901" s="295"/>
      <c r="Q901" s="295"/>
      <c r="R901" s="295"/>
      <c r="S901" s="295"/>
      <c r="T901" s="295"/>
      <c r="U901" s="295"/>
      <c r="V901" s="295"/>
      <c r="W901" s="295"/>
      <c r="X901" s="295"/>
      <c r="Y901" s="295"/>
      <c r="Z901" s="295"/>
      <c r="AA901" s="295"/>
      <c r="AB901" s="295"/>
      <c r="AC901" s="295"/>
    </row>
    <row r="902">
      <c r="A902" s="295"/>
      <c r="B902" s="350"/>
      <c r="C902" s="350"/>
      <c r="D902" s="295"/>
      <c r="E902" s="295"/>
      <c r="F902" s="295"/>
      <c r="G902" s="295"/>
      <c r="H902" s="295"/>
      <c r="I902" s="351"/>
      <c r="J902" s="295"/>
      <c r="K902" s="295"/>
      <c r="L902" s="295"/>
      <c r="M902" s="295"/>
      <c r="N902" s="295"/>
      <c r="O902" s="295"/>
      <c r="P902" s="295"/>
      <c r="Q902" s="295"/>
      <c r="R902" s="295"/>
      <c r="S902" s="295"/>
      <c r="T902" s="295"/>
      <c r="U902" s="295"/>
      <c r="V902" s="295"/>
      <c r="W902" s="295"/>
      <c r="X902" s="295"/>
      <c r="Y902" s="295"/>
      <c r="Z902" s="295"/>
      <c r="AA902" s="295"/>
      <c r="AB902" s="295"/>
      <c r="AC902" s="295"/>
    </row>
    <row r="903">
      <c r="A903" s="295"/>
      <c r="B903" s="350"/>
      <c r="C903" s="350"/>
      <c r="D903" s="295"/>
      <c r="E903" s="295"/>
      <c r="F903" s="295"/>
      <c r="G903" s="295"/>
      <c r="H903" s="295"/>
      <c r="I903" s="351"/>
      <c r="J903" s="295"/>
      <c r="K903" s="295"/>
      <c r="L903" s="295"/>
      <c r="M903" s="295"/>
      <c r="N903" s="295"/>
      <c r="O903" s="295"/>
      <c r="P903" s="295"/>
      <c r="Q903" s="295"/>
      <c r="R903" s="295"/>
      <c r="S903" s="295"/>
      <c r="T903" s="295"/>
      <c r="U903" s="295"/>
      <c r="V903" s="295"/>
      <c r="W903" s="295"/>
      <c r="X903" s="295"/>
      <c r="Y903" s="295"/>
      <c r="Z903" s="295"/>
      <c r="AA903" s="295"/>
      <c r="AB903" s="295"/>
      <c r="AC903" s="295"/>
    </row>
    <row r="904">
      <c r="A904" s="295"/>
      <c r="B904" s="350"/>
      <c r="C904" s="350"/>
      <c r="D904" s="295"/>
      <c r="E904" s="295"/>
      <c r="F904" s="295"/>
      <c r="G904" s="295"/>
      <c r="H904" s="295"/>
      <c r="I904" s="351"/>
      <c r="J904" s="295"/>
      <c r="K904" s="295"/>
      <c r="L904" s="295"/>
      <c r="M904" s="295"/>
      <c r="N904" s="295"/>
      <c r="O904" s="295"/>
      <c r="P904" s="295"/>
      <c r="Q904" s="295"/>
      <c r="R904" s="295"/>
      <c r="S904" s="295"/>
      <c r="T904" s="295"/>
      <c r="U904" s="295"/>
      <c r="V904" s="295"/>
      <c r="W904" s="295"/>
      <c r="X904" s="295"/>
      <c r="Y904" s="295"/>
      <c r="Z904" s="295"/>
      <c r="AA904" s="295"/>
      <c r="AB904" s="295"/>
      <c r="AC904" s="295"/>
    </row>
    <row r="905">
      <c r="A905" s="295"/>
      <c r="B905" s="350"/>
      <c r="C905" s="350"/>
      <c r="D905" s="295"/>
      <c r="E905" s="295"/>
      <c r="F905" s="295"/>
      <c r="G905" s="295"/>
      <c r="H905" s="295"/>
      <c r="I905" s="351"/>
      <c r="J905" s="295"/>
      <c r="K905" s="295"/>
      <c r="L905" s="295"/>
      <c r="M905" s="295"/>
      <c r="N905" s="295"/>
      <c r="O905" s="295"/>
      <c r="P905" s="295"/>
      <c r="Q905" s="295"/>
      <c r="R905" s="295"/>
      <c r="S905" s="295"/>
      <c r="T905" s="295"/>
      <c r="U905" s="295"/>
      <c r="V905" s="295"/>
      <c r="W905" s="295"/>
      <c r="X905" s="295"/>
      <c r="Y905" s="295"/>
      <c r="Z905" s="295"/>
      <c r="AA905" s="295"/>
      <c r="AB905" s="295"/>
      <c r="AC905" s="295"/>
    </row>
    <row r="906">
      <c r="A906" s="295"/>
      <c r="B906" s="350"/>
      <c r="C906" s="350"/>
      <c r="D906" s="295"/>
      <c r="E906" s="295"/>
      <c r="F906" s="295"/>
      <c r="G906" s="295"/>
      <c r="H906" s="295"/>
      <c r="I906" s="351"/>
      <c r="J906" s="295"/>
      <c r="K906" s="295"/>
      <c r="L906" s="295"/>
      <c r="M906" s="295"/>
      <c r="N906" s="295"/>
      <c r="O906" s="295"/>
      <c r="P906" s="295"/>
      <c r="Q906" s="295"/>
      <c r="R906" s="295"/>
      <c r="S906" s="295"/>
      <c r="T906" s="295"/>
      <c r="U906" s="295"/>
      <c r="V906" s="295"/>
      <c r="W906" s="295"/>
      <c r="X906" s="295"/>
      <c r="Y906" s="295"/>
      <c r="Z906" s="295"/>
      <c r="AA906" s="295"/>
      <c r="AB906" s="295"/>
      <c r="AC906" s="295"/>
    </row>
    <row r="907">
      <c r="A907" s="295"/>
      <c r="B907" s="350"/>
      <c r="C907" s="350"/>
      <c r="D907" s="295"/>
      <c r="E907" s="295"/>
      <c r="F907" s="295"/>
      <c r="G907" s="295"/>
      <c r="H907" s="295"/>
      <c r="I907" s="351"/>
      <c r="J907" s="295"/>
      <c r="K907" s="295"/>
      <c r="L907" s="295"/>
      <c r="M907" s="295"/>
      <c r="N907" s="295"/>
      <c r="O907" s="295"/>
      <c r="P907" s="295"/>
      <c r="Q907" s="295"/>
      <c r="R907" s="295"/>
      <c r="S907" s="295"/>
      <c r="T907" s="295"/>
      <c r="U907" s="295"/>
      <c r="V907" s="295"/>
      <c r="W907" s="295"/>
      <c r="X907" s="295"/>
      <c r="Y907" s="295"/>
      <c r="Z907" s="295"/>
      <c r="AA907" s="295"/>
      <c r="AB907" s="295"/>
      <c r="AC907" s="295"/>
    </row>
    <row r="908">
      <c r="A908" s="295"/>
      <c r="B908" s="350"/>
      <c r="C908" s="350"/>
      <c r="D908" s="295"/>
      <c r="E908" s="295"/>
      <c r="F908" s="295"/>
      <c r="G908" s="295"/>
      <c r="H908" s="295"/>
      <c r="I908" s="351"/>
      <c r="J908" s="295"/>
      <c r="K908" s="295"/>
      <c r="L908" s="295"/>
      <c r="M908" s="295"/>
      <c r="N908" s="295"/>
      <c r="O908" s="295"/>
      <c r="P908" s="295"/>
      <c r="Q908" s="295"/>
      <c r="R908" s="295"/>
      <c r="S908" s="295"/>
      <c r="T908" s="295"/>
      <c r="U908" s="295"/>
      <c r="V908" s="295"/>
      <c r="W908" s="295"/>
      <c r="X908" s="295"/>
      <c r="Y908" s="295"/>
      <c r="Z908" s="295"/>
      <c r="AA908" s="295"/>
      <c r="AB908" s="295"/>
      <c r="AC908" s="295"/>
    </row>
    <row r="909">
      <c r="A909" s="295"/>
      <c r="B909" s="350"/>
      <c r="C909" s="350"/>
      <c r="D909" s="295"/>
      <c r="E909" s="295"/>
      <c r="F909" s="295"/>
      <c r="G909" s="295"/>
      <c r="H909" s="295"/>
      <c r="I909" s="351"/>
      <c r="J909" s="295"/>
      <c r="K909" s="295"/>
      <c r="L909" s="295"/>
      <c r="M909" s="295"/>
      <c r="N909" s="295"/>
      <c r="O909" s="295"/>
      <c r="P909" s="295"/>
      <c r="Q909" s="295"/>
      <c r="R909" s="295"/>
      <c r="S909" s="295"/>
      <c r="T909" s="295"/>
      <c r="U909" s="295"/>
      <c r="V909" s="295"/>
      <c r="W909" s="295"/>
      <c r="X909" s="295"/>
      <c r="Y909" s="295"/>
      <c r="Z909" s="295"/>
      <c r="AA909" s="295"/>
      <c r="AB909" s="295"/>
      <c r="AC909" s="295"/>
    </row>
    <row r="910">
      <c r="A910" s="295"/>
      <c r="B910" s="350"/>
      <c r="C910" s="350"/>
      <c r="D910" s="295"/>
      <c r="E910" s="295"/>
      <c r="F910" s="295"/>
      <c r="G910" s="295"/>
      <c r="H910" s="295"/>
      <c r="I910" s="351"/>
      <c r="J910" s="295"/>
      <c r="K910" s="295"/>
      <c r="L910" s="295"/>
      <c r="M910" s="295"/>
      <c r="N910" s="295"/>
      <c r="O910" s="295"/>
      <c r="P910" s="295"/>
      <c r="Q910" s="295"/>
      <c r="R910" s="295"/>
      <c r="S910" s="295"/>
      <c r="T910" s="295"/>
      <c r="U910" s="295"/>
      <c r="V910" s="295"/>
      <c r="W910" s="295"/>
      <c r="X910" s="295"/>
      <c r="Y910" s="295"/>
      <c r="Z910" s="295"/>
      <c r="AA910" s="295"/>
      <c r="AB910" s="295"/>
      <c r="AC910" s="295"/>
    </row>
    <row r="911">
      <c r="A911" s="295"/>
      <c r="B911" s="350"/>
      <c r="C911" s="350"/>
      <c r="D911" s="295"/>
      <c r="E911" s="295"/>
      <c r="F911" s="295"/>
      <c r="G911" s="295"/>
      <c r="H911" s="295"/>
      <c r="I911" s="351"/>
      <c r="J911" s="295"/>
      <c r="K911" s="295"/>
      <c r="L911" s="295"/>
      <c r="M911" s="295"/>
      <c r="N911" s="295"/>
      <c r="O911" s="295"/>
      <c r="P911" s="295"/>
      <c r="Q911" s="295"/>
      <c r="R911" s="295"/>
      <c r="S911" s="295"/>
      <c r="T911" s="295"/>
      <c r="U911" s="295"/>
      <c r="V911" s="295"/>
      <c r="W911" s="295"/>
      <c r="X911" s="295"/>
      <c r="Y911" s="295"/>
      <c r="Z911" s="295"/>
      <c r="AA911" s="295"/>
      <c r="AB911" s="295"/>
      <c r="AC911" s="295"/>
    </row>
    <row r="912">
      <c r="A912" s="295"/>
      <c r="B912" s="350"/>
      <c r="C912" s="350"/>
      <c r="D912" s="295"/>
      <c r="E912" s="295"/>
      <c r="F912" s="295"/>
      <c r="G912" s="295"/>
      <c r="H912" s="295"/>
      <c r="I912" s="351"/>
      <c r="J912" s="295"/>
      <c r="K912" s="295"/>
      <c r="L912" s="295"/>
      <c r="M912" s="295"/>
      <c r="N912" s="295"/>
      <c r="O912" s="295"/>
      <c r="P912" s="295"/>
      <c r="Q912" s="295"/>
      <c r="R912" s="295"/>
      <c r="S912" s="295"/>
      <c r="T912" s="295"/>
      <c r="U912" s="295"/>
      <c r="V912" s="295"/>
      <c r="W912" s="295"/>
      <c r="X912" s="295"/>
      <c r="Y912" s="295"/>
      <c r="Z912" s="295"/>
      <c r="AA912" s="295"/>
      <c r="AB912" s="295"/>
      <c r="AC912" s="295"/>
    </row>
    <row r="913">
      <c r="A913" s="295"/>
      <c r="B913" s="350"/>
      <c r="C913" s="350"/>
      <c r="D913" s="295"/>
      <c r="E913" s="295"/>
      <c r="F913" s="295"/>
      <c r="G913" s="295"/>
      <c r="H913" s="295"/>
      <c r="I913" s="351"/>
      <c r="J913" s="295"/>
      <c r="K913" s="295"/>
      <c r="L913" s="295"/>
      <c r="M913" s="295"/>
      <c r="N913" s="295"/>
      <c r="O913" s="295"/>
      <c r="P913" s="295"/>
      <c r="Q913" s="295"/>
      <c r="R913" s="295"/>
      <c r="S913" s="295"/>
      <c r="T913" s="295"/>
      <c r="U913" s="295"/>
      <c r="V913" s="295"/>
      <c r="W913" s="295"/>
      <c r="X913" s="295"/>
      <c r="Y913" s="295"/>
      <c r="Z913" s="295"/>
      <c r="AA913" s="295"/>
      <c r="AB913" s="295"/>
      <c r="AC913" s="295"/>
    </row>
    <row r="914">
      <c r="A914" s="295"/>
      <c r="B914" s="350"/>
      <c r="C914" s="350"/>
      <c r="D914" s="295"/>
      <c r="E914" s="295"/>
      <c r="F914" s="295"/>
      <c r="G914" s="295"/>
      <c r="H914" s="295"/>
      <c r="I914" s="351"/>
      <c r="J914" s="295"/>
      <c r="K914" s="295"/>
      <c r="L914" s="295"/>
      <c r="M914" s="295"/>
      <c r="N914" s="295"/>
      <c r="O914" s="295"/>
      <c r="P914" s="295"/>
      <c r="Q914" s="295"/>
      <c r="R914" s="295"/>
      <c r="S914" s="295"/>
      <c r="T914" s="295"/>
      <c r="U914" s="295"/>
      <c r="V914" s="295"/>
      <c r="W914" s="295"/>
      <c r="X914" s="295"/>
      <c r="Y914" s="295"/>
      <c r="Z914" s="295"/>
      <c r="AA914" s="295"/>
      <c r="AB914" s="295"/>
      <c r="AC914" s="295"/>
    </row>
    <row r="915">
      <c r="A915" s="295"/>
      <c r="B915" s="350"/>
      <c r="C915" s="350"/>
      <c r="D915" s="295"/>
      <c r="E915" s="295"/>
      <c r="F915" s="295"/>
      <c r="G915" s="295"/>
      <c r="H915" s="295"/>
      <c r="I915" s="351"/>
      <c r="J915" s="295"/>
      <c r="K915" s="295"/>
      <c r="L915" s="295"/>
      <c r="M915" s="295"/>
      <c r="N915" s="295"/>
      <c r="O915" s="295"/>
      <c r="P915" s="295"/>
      <c r="Q915" s="295"/>
      <c r="R915" s="295"/>
      <c r="S915" s="295"/>
      <c r="T915" s="295"/>
      <c r="U915" s="295"/>
      <c r="V915" s="295"/>
      <c r="W915" s="295"/>
      <c r="X915" s="295"/>
      <c r="Y915" s="295"/>
      <c r="Z915" s="295"/>
      <c r="AA915" s="295"/>
      <c r="AB915" s="295"/>
      <c r="AC915" s="295"/>
    </row>
    <row r="916">
      <c r="A916" s="295"/>
      <c r="B916" s="350"/>
      <c r="C916" s="350"/>
      <c r="D916" s="295"/>
      <c r="E916" s="295"/>
      <c r="F916" s="295"/>
      <c r="G916" s="295"/>
      <c r="H916" s="295"/>
      <c r="I916" s="351"/>
      <c r="J916" s="295"/>
      <c r="K916" s="295"/>
      <c r="L916" s="295"/>
      <c r="M916" s="295"/>
      <c r="N916" s="295"/>
      <c r="O916" s="295"/>
      <c r="P916" s="295"/>
      <c r="Q916" s="295"/>
      <c r="R916" s="295"/>
      <c r="S916" s="295"/>
      <c r="T916" s="295"/>
      <c r="U916" s="295"/>
      <c r="V916" s="295"/>
      <c r="W916" s="295"/>
      <c r="X916" s="295"/>
      <c r="Y916" s="295"/>
      <c r="Z916" s="295"/>
      <c r="AA916" s="295"/>
      <c r="AB916" s="295"/>
      <c r="AC916" s="295"/>
    </row>
    <row r="917">
      <c r="A917" s="295"/>
      <c r="B917" s="350"/>
      <c r="C917" s="350"/>
      <c r="D917" s="295"/>
      <c r="E917" s="295"/>
      <c r="F917" s="295"/>
      <c r="G917" s="295"/>
      <c r="H917" s="295"/>
      <c r="I917" s="351"/>
      <c r="J917" s="295"/>
      <c r="K917" s="295"/>
      <c r="L917" s="295"/>
      <c r="M917" s="295"/>
      <c r="N917" s="295"/>
      <c r="O917" s="295"/>
      <c r="P917" s="295"/>
      <c r="Q917" s="295"/>
      <c r="R917" s="295"/>
      <c r="S917" s="295"/>
      <c r="T917" s="295"/>
      <c r="U917" s="295"/>
      <c r="V917" s="295"/>
      <c r="W917" s="295"/>
      <c r="X917" s="295"/>
      <c r="Y917" s="295"/>
      <c r="Z917" s="295"/>
      <c r="AA917" s="295"/>
      <c r="AB917" s="295"/>
      <c r="AC917" s="295"/>
    </row>
    <row r="918">
      <c r="A918" s="295"/>
      <c r="B918" s="350"/>
      <c r="C918" s="350"/>
      <c r="D918" s="295"/>
      <c r="E918" s="295"/>
      <c r="F918" s="295"/>
      <c r="G918" s="295"/>
      <c r="H918" s="295"/>
      <c r="I918" s="351"/>
      <c r="J918" s="295"/>
      <c r="K918" s="295"/>
      <c r="L918" s="295"/>
      <c r="M918" s="295"/>
      <c r="N918" s="295"/>
      <c r="O918" s="295"/>
      <c r="P918" s="295"/>
      <c r="Q918" s="295"/>
      <c r="R918" s="295"/>
      <c r="S918" s="295"/>
      <c r="T918" s="295"/>
      <c r="U918" s="295"/>
      <c r="V918" s="295"/>
      <c r="W918" s="295"/>
      <c r="X918" s="295"/>
      <c r="Y918" s="295"/>
      <c r="Z918" s="295"/>
      <c r="AA918" s="295"/>
      <c r="AB918" s="295"/>
      <c r="AC918" s="295"/>
    </row>
    <row r="919">
      <c r="A919" s="295"/>
      <c r="B919" s="350"/>
      <c r="C919" s="350"/>
      <c r="D919" s="295"/>
      <c r="E919" s="295"/>
      <c r="F919" s="295"/>
      <c r="G919" s="295"/>
      <c r="H919" s="295"/>
      <c r="I919" s="351"/>
      <c r="J919" s="295"/>
      <c r="K919" s="295"/>
      <c r="L919" s="295"/>
      <c r="M919" s="295"/>
      <c r="N919" s="295"/>
      <c r="O919" s="295"/>
      <c r="P919" s="295"/>
      <c r="Q919" s="295"/>
      <c r="R919" s="295"/>
      <c r="S919" s="295"/>
      <c r="T919" s="295"/>
      <c r="U919" s="295"/>
      <c r="V919" s="295"/>
      <c r="W919" s="295"/>
      <c r="X919" s="295"/>
      <c r="Y919" s="295"/>
      <c r="Z919" s="295"/>
      <c r="AA919" s="295"/>
      <c r="AB919" s="295"/>
      <c r="AC919" s="295"/>
    </row>
    <row r="920">
      <c r="A920" s="295"/>
      <c r="B920" s="350"/>
      <c r="C920" s="350"/>
      <c r="D920" s="295"/>
      <c r="E920" s="295"/>
      <c r="F920" s="295"/>
      <c r="G920" s="295"/>
      <c r="H920" s="295"/>
      <c r="I920" s="351"/>
      <c r="J920" s="295"/>
      <c r="K920" s="295"/>
      <c r="L920" s="295"/>
      <c r="M920" s="295"/>
      <c r="N920" s="295"/>
      <c r="O920" s="295"/>
      <c r="P920" s="295"/>
      <c r="Q920" s="295"/>
      <c r="R920" s="295"/>
      <c r="S920" s="295"/>
      <c r="T920" s="295"/>
      <c r="U920" s="295"/>
      <c r="V920" s="295"/>
      <c r="W920" s="295"/>
      <c r="X920" s="295"/>
      <c r="Y920" s="295"/>
      <c r="Z920" s="295"/>
      <c r="AA920" s="295"/>
      <c r="AB920" s="295"/>
      <c r="AC920" s="295"/>
    </row>
    <row r="921">
      <c r="A921" s="295"/>
      <c r="B921" s="350"/>
      <c r="C921" s="350"/>
      <c r="D921" s="295"/>
      <c r="E921" s="295"/>
      <c r="F921" s="295"/>
      <c r="G921" s="295"/>
      <c r="H921" s="295"/>
      <c r="I921" s="351"/>
      <c r="J921" s="295"/>
      <c r="K921" s="295"/>
      <c r="L921" s="295"/>
      <c r="M921" s="295"/>
      <c r="N921" s="295"/>
      <c r="O921" s="295"/>
      <c r="P921" s="295"/>
      <c r="Q921" s="295"/>
      <c r="R921" s="295"/>
      <c r="S921" s="295"/>
      <c r="T921" s="295"/>
      <c r="U921" s="295"/>
      <c r="V921" s="295"/>
      <c r="W921" s="295"/>
      <c r="X921" s="295"/>
      <c r="Y921" s="295"/>
      <c r="Z921" s="295"/>
      <c r="AA921" s="295"/>
      <c r="AB921" s="295"/>
      <c r="AC921" s="295"/>
    </row>
    <row r="922">
      <c r="A922" s="295"/>
      <c r="B922" s="350"/>
      <c r="C922" s="350"/>
      <c r="D922" s="295"/>
      <c r="E922" s="295"/>
      <c r="F922" s="295"/>
      <c r="G922" s="295"/>
      <c r="H922" s="295"/>
      <c r="I922" s="351"/>
      <c r="J922" s="295"/>
      <c r="K922" s="295"/>
      <c r="L922" s="295"/>
      <c r="M922" s="295"/>
      <c r="N922" s="295"/>
      <c r="O922" s="295"/>
      <c r="P922" s="295"/>
      <c r="Q922" s="295"/>
      <c r="R922" s="295"/>
      <c r="S922" s="295"/>
      <c r="T922" s="295"/>
      <c r="U922" s="295"/>
      <c r="V922" s="295"/>
      <c r="W922" s="295"/>
      <c r="X922" s="295"/>
      <c r="Y922" s="295"/>
      <c r="Z922" s="295"/>
      <c r="AA922" s="295"/>
      <c r="AB922" s="295"/>
      <c r="AC922" s="295"/>
    </row>
    <row r="923">
      <c r="A923" s="295"/>
      <c r="B923" s="350"/>
      <c r="C923" s="350"/>
      <c r="D923" s="295"/>
      <c r="E923" s="295"/>
      <c r="F923" s="295"/>
      <c r="G923" s="295"/>
      <c r="H923" s="295"/>
      <c r="I923" s="351"/>
      <c r="J923" s="295"/>
      <c r="K923" s="295"/>
      <c r="L923" s="295"/>
      <c r="M923" s="295"/>
      <c r="N923" s="295"/>
      <c r="O923" s="295"/>
      <c r="P923" s="295"/>
      <c r="Q923" s="295"/>
      <c r="R923" s="295"/>
      <c r="S923" s="295"/>
      <c r="T923" s="295"/>
      <c r="U923" s="295"/>
      <c r="V923" s="295"/>
      <c r="W923" s="295"/>
      <c r="X923" s="295"/>
      <c r="Y923" s="295"/>
      <c r="Z923" s="295"/>
      <c r="AA923" s="295"/>
      <c r="AB923" s="295"/>
      <c r="AC923" s="295"/>
    </row>
    <row r="924">
      <c r="A924" s="295"/>
      <c r="B924" s="350"/>
      <c r="C924" s="350"/>
      <c r="D924" s="295"/>
      <c r="E924" s="295"/>
      <c r="F924" s="295"/>
      <c r="G924" s="295"/>
      <c r="H924" s="295"/>
      <c r="I924" s="351"/>
      <c r="J924" s="295"/>
      <c r="K924" s="295"/>
      <c r="L924" s="295"/>
      <c r="M924" s="295"/>
      <c r="N924" s="295"/>
      <c r="O924" s="295"/>
      <c r="P924" s="295"/>
      <c r="Q924" s="295"/>
      <c r="R924" s="295"/>
      <c r="S924" s="295"/>
      <c r="T924" s="295"/>
      <c r="U924" s="295"/>
      <c r="V924" s="295"/>
      <c r="W924" s="295"/>
      <c r="X924" s="295"/>
      <c r="Y924" s="295"/>
      <c r="Z924" s="295"/>
      <c r="AA924" s="295"/>
      <c r="AB924" s="295"/>
      <c r="AC924" s="295"/>
    </row>
    <row r="925">
      <c r="A925" s="295"/>
      <c r="B925" s="350"/>
      <c r="C925" s="350"/>
      <c r="D925" s="295"/>
      <c r="E925" s="295"/>
      <c r="F925" s="295"/>
      <c r="G925" s="295"/>
      <c r="H925" s="295"/>
      <c r="I925" s="351"/>
      <c r="J925" s="295"/>
      <c r="K925" s="295"/>
      <c r="L925" s="295"/>
      <c r="M925" s="295"/>
      <c r="N925" s="295"/>
      <c r="O925" s="295"/>
      <c r="P925" s="295"/>
      <c r="Q925" s="295"/>
      <c r="R925" s="295"/>
      <c r="S925" s="295"/>
      <c r="T925" s="295"/>
      <c r="U925" s="295"/>
      <c r="V925" s="295"/>
      <c r="W925" s="295"/>
      <c r="X925" s="295"/>
      <c r="Y925" s="295"/>
      <c r="Z925" s="295"/>
      <c r="AA925" s="295"/>
      <c r="AB925" s="295"/>
      <c r="AC925" s="295"/>
    </row>
    <row r="926">
      <c r="A926" s="295"/>
      <c r="B926" s="350"/>
      <c r="C926" s="350"/>
      <c r="D926" s="295"/>
      <c r="E926" s="295"/>
      <c r="F926" s="295"/>
      <c r="G926" s="295"/>
      <c r="H926" s="295"/>
      <c r="I926" s="351"/>
      <c r="J926" s="295"/>
      <c r="K926" s="295"/>
      <c r="L926" s="295"/>
      <c r="M926" s="295"/>
      <c r="N926" s="295"/>
      <c r="O926" s="295"/>
      <c r="P926" s="295"/>
      <c r="Q926" s="295"/>
      <c r="R926" s="295"/>
      <c r="S926" s="295"/>
      <c r="T926" s="295"/>
      <c r="U926" s="295"/>
      <c r="V926" s="295"/>
      <c r="W926" s="295"/>
      <c r="X926" s="295"/>
      <c r="Y926" s="295"/>
      <c r="Z926" s="295"/>
      <c r="AA926" s="295"/>
      <c r="AB926" s="295"/>
      <c r="AC926" s="295"/>
    </row>
    <row r="927">
      <c r="A927" s="295"/>
      <c r="B927" s="350"/>
      <c r="C927" s="350"/>
      <c r="D927" s="295"/>
      <c r="E927" s="295"/>
      <c r="F927" s="295"/>
      <c r="G927" s="295"/>
      <c r="H927" s="295"/>
      <c r="I927" s="351"/>
      <c r="J927" s="295"/>
      <c r="K927" s="295"/>
      <c r="L927" s="295"/>
      <c r="M927" s="295"/>
      <c r="N927" s="295"/>
      <c r="O927" s="295"/>
      <c r="P927" s="295"/>
      <c r="Q927" s="295"/>
      <c r="R927" s="295"/>
      <c r="S927" s="295"/>
      <c r="T927" s="295"/>
      <c r="U927" s="295"/>
      <c r="V927" s="295"/>
      <c r="W927" s="295"/>
      <c r="X927" s="295"/>
      <c r="Y927" s="295"/>
      <c r="Z927" s="295"/>
      <c r="AA927" s="295"/>
      <c r="AB927" s="295"/>
      <c r="AC927" s="295"/>
    </row>
    <row r="928">
      <c r="A928" s="295"/>
      <c r="B928" s="350"/>
      <c r="C928" s="350"/>
      <c r="D928" s="295"/>
      <c r="E928" s="295"/>
      <c r="F928" s="295"/>
      <c r="G928" s="295"/>
      <c r="H928" s="295"/>
      <c r="I928" s="351"/>
      <c r="J928" s="295"/>
      <c r="K928" s="295"/>
      <c r="L928" s="295"/>
      <c r="M928" s="295"/>
      <c r="N928" s="295"/>
      <c r="O928" s="295"/>
      <c r="P928" s="295"/>
      <c r="Q928" s="295"/>
      <c r="R928" s="295"/>
      <c r="S928" s="295"/>
      <c r="T928" s="295"/>
      <c r="U928" s="295"/>
      <c r="V928" s="295"/>
      <c r="W928" s="295"/>
      <c r="X928" s="295"/>
      <c r="Y928" s="295"/>
      <c r="Z928" s="295"/>
      <c r="AA928" s="295"/>
      <c r="AB928" s="295"/>
      <c r="AC928" s="295"/>
    </row>
    <row r="929">
      <c r="A929" s="295"/>
      <c r="B929" s="350"/>
      <c r="C929" s="350"/>
      <c r="D929" s="295"/>
      <c r="E929" s="295"/>
      <c r="F929" s="295"/>
      <c r="G929" s="295"/>
      <c r="H929" s="295"/>
      <c r="I929" s="351"/>
      <c r="J929" s="295"/>
      <c r="K929" s="295"/>
      <c r="L929" s="295"/>
      <c r="M929" s="295"/>
      <c r="N929" s="295"/>
      <c r="O929" s="295"/>
      <c r="P929" s="295"/>
      <c r="Q929" s="295"/>
      <c r="R929" s="295"/>
      <c r="S929" s="295"/>
      <c r="T929" s="295"/>
      <c r="U929" s="295"/>
      <c r="V929" s="295"/>
      <c r="W929" s="295"/>
      <c r="X929" s="295"/>
      <c r="Y929" s="295"/>
      <c r="Z929" s="295"/>
      <c r="AA929" s="295"/>
      <c r="AB929" s="295"/>
      <c r="AC929" s="295"/>
    </row>
    <row r="930">
      <c r="A930" s="295"/>
      <c r="B930" s="350"/>
      <c r="C930" s="350"/>
      <c r="D930" s="295"/>
      <c r="E930" s="295"/>
      <c r="F930" s="295"/>
      <c r="G930" s="295"/>
      <c r="H930" s="295"/>
      <c r="I930" s="351"/>
      <c r="J930" s="295"/>
      <c r="K930" s="295"/>
      <c r="L930" s="295"/>
      <c r="M930" s="295"/>
      <c r="N930" s="295"/>
      <c r="O930" s="295"/>
      <c r="P930" s="295"/>
      <c r="Q930" s="295"/>
      <c r="R930" s="295"/>
      <c r="S930" s="295"/>
      <c r="T930" s="295"/>
      <c r="U930" s="295"/>
      <c r="V930" s="295"/>
      <c r="W930" s="295"/>
      <c r="X930" s="295"/>
      <c r="Y930" s="295"/>
      <c r="Z930" s="295"/>
      <c r="AA930" s="295"/>
      <c r="AB930" s="295"/>
      <c r="AC930" s="295"/>
    </row>
    <row r="931">
      <c r="A931" s="295"/>
      <c r="B931" s="350"/>
      <c r="C931" s="350"/>
      <c r="D931" s="295"/>
      <c r="E931" s="295"/>
      <c r="F931" s="295"/>
      <c r="G931" s="295"/>
      <c r="H931" s="295"/>
      <c r="I931" s="351"/>
      <c r="J931" s="295"/>
      <c r="K931" s="295"/>
      <c r="L931" s="295"/>
      <c r="M931" s="295"/>
      <c r="N931" s="295"/>
      <c r="O931" s="295"/>
      <c r="P931" s="295"/>
      <c r="Q931" s="295"/>
      <c r="R931" s="295"/>
      <c r="S931" s="295"/>
      <c r="T931" s="295"/>
      <c r="U931" s="295"/>
      <c r="V931" s="295"/>
      <c r="W931" s="295"/>
      <c r="X931" s="295"/>
      <c r="Y931" s="295"/>
      <c r="Z931" s="295"/>
      <c r="AA931" s="295"/>
      <c r="AB931" s="295"/>
      <c r="AC931" s="295"/>
    </row>
    <row r="932">
      <c r="A932" s="295"/>
      <c r="B932" s="350"/>
      <c r="C932" s="350"/>
      <c r="D932" s="295"/>
      <c r="E932" s="295"/>
      <c r="F932" s="295"/>
      <c r="G932" s="295"/>
      <c r="H932" s="295"/>
      <c r="I932" s="351"/>
      <c r="J932" s="295"/>
      <c r="K932" s="295"/>
      <c r="L932" s="295"/>
      <c r="M932" s="295"/>
      <c r="N932" s="295"/>
      <c r="O932" s="295"/>
      <c r="P932" s="295"/>
      <c r="Q932" s="295"/>
      <c r="R932" s="295"/>
      <c r="S932" s="295"/>
      <c r="T932" s="295"/>
      <c r="U932" s="295"/>
      <c r="V932" s="295"/>
      <c r="W932" s="295"/>
      <c r="X932" s="295"/>
      <c r="Y932" s="295"/>
      <c r="Z932" s="295"/>
      <c r="AA932" s="295"/>
      <c r="AB932" s="295"/>
      <c r="AC932" s="295"/>
    </row>
    <row r="933">
      <c r="A933" s="295"/>
      <c r="B933" s="350"/>
      <c r="C933" s="350"/>
      <c r="D933" s="295"/>
      <c r="E933" s="295"/>
      <c r="F933" s="295"/>
      <c r="G933" s="295"/>
      <c r="H933" s="295"/>
      <c r="I933" s="351"/>
      <c r="J933" s="295"/>
      <c r="K933" s="295"/>
      <c r="L933" s="295"/>
      <c r="M933" s="295"/>
      <c r="N933" s="295"/>
      <c r="O933" s="295"/>
      <c r="P933" s="295"/>
      <c r="Q933" s="295"/>
      <c r="R933" s="295"/>
      <c r="S933" s="295"/>
      <c r="T933" s="295"/>
      <c r="U933" s="295"/>
      <c r="V933" s="295"/>
      <c r="W933" s="295"/>
      <c r="X933" s="295"/>
      <c r="Y933" s="295"/>
      <c r="Z933" s="295"/>
      <c r="AA933" s="295"/>
      <c r="AB933" s="295"/>
      <c r="AC933" s="295"/>
    </row>
    <row r="934">
      <c r="A934" s="295"/>
      <c r="B934" s="350"/>
      <c r="C934" s="350"/>
      <c r="D934" s="295"/>
      <c r="E934" s="295"/>
      <c r="F934" s="295"/>
      <c r="G934" s="295"/>
      <c r="H934" s="295"/>
      <c r="I934" s="351"/>
      <c r="J934" s="295"/>
      <c r="K934" s="295"/>
      <c r="L934" s="295"/>
      <c r="M934" s="295"/>
      <c r="N934" s="295"/>
      <c r="O934" s="295"/>
      <c r="P934" s="295"/>
      <c r="Q934" s="295"/>
      <c r="R934" s="295"/>
      <c r="S934" s="295"/>
      <c r="T934" s="295"/>
      <c r="U934" s="295"/>
      <c r="V934" s="295"/>
      <c r="W934" s="295"/>
      <c r="X934" s="295"/>
      <c r="Y934" s="295"/>
      <c r="Z934" s="295"/>
      <c r="AA934" s="295"/>
      <c r="AB934" s="295"/>
      <c r="AC934" s="295"/>
    </row>
    <row r="935">
      <c r="A935" s="295"/>
      <c r="B935" s="350"/>
      <c r="C935" s="350"/>
      <c r="D935" s="295"/>
      <c r="E935" s="295"/>
      <c r="F935" s="295"/>
      <c r="G935" s="295"/>
      <c r="H935" s="295"/>
      <c r="I935" s="351"/>
      <c r="J935" s="295"/>
      <c r="K935" s="295"/>
      <c r="L935" s="295"/>
      <c r="M935" s="295"/>
      <c r="N935" s="295"/>
      <c r="O935" s="295"/>
      <c r="P935" s="295"/>
      <c r="Q935" s="295"/>
      <c r="R935" s="295"/>
      <c r="S935" s="295"/>
      <c r="T935" s="295"/>
      <c r="U935" s="295"/>
      <c r="V935" s="295"/>
      <c r="W935" s="295"/>
      <c r="X935" s="295"/>
      <c r="Y935" s="295"/>
      <c r="Z935" s="295"/>
      <c r="AA935" s="295"/>
      <c r="AB935" s="295"/>
      <c r="AC935" s="295"/>
    </row>
    <row r="936">
      <c r="A936" s="295"/>
      <c r="B936" s="350"/>
      <c r="C936" s="350"/>
      <c r="D936" s="295"/>
      <c r="E936" s="295"/>
      <c r="F936" s="295"/>
      <c r="G936" s="295"/>
      <c r="H936" s="295"/>
      <c r="I936" s="351"/>
      <c r="J936" s="295"/>
      <c r="K936" s="295"/>
      <c r="L936" s="295"/>
      <c r="M936" s="295"/>
      <c r="N936" s="295"/>
      <c r="O936" s="295"/>
      <c r="P936" s="295"/>
      <c r="Q936" s="295"/>
      <c r="R936" s="295"/>
      <c r="S936" s="295"/>
      <c r="T936" s="295"/>
      <c r="U936" s="295"/>
      <c r="V936" s="295"/>
      <c r="W936" s="295"/>
      <c r="X936" s="295"/>
      <c r="Y936" s="295"/>
      <c r="Z936" s="295"/>
      <c r="AA936" s="295"/>
      <c r="AB936" s="295"/>
      <c r="AC936" s="295"/>
    </row>
    <row r="937">
      <c r="A937" s="295"/>
      <c r="B937" s="350"/>
      <c r="C937" s="350"/>
      <c r="D937" s="295"/>
      <c r="E937" s="295"/>
      <c r="F937" s="295"/>
      <c r="G937" s="295"/>
      <c r="H937" s="295"/>
      <c r="I937" s="351"/>
      <c r="J937" s="295"/>
      <c r="K937" s="295"/>
      <c r="L937" s="295"/>
      <c r="M937" s="295"/>
      <c r="N937" s="295"/>
      <c r="O937" s="295"/>
      <c r="P937" s="295"/>
      <c r="Q937" s="295"/>
      <c r="R937" s="295"/>
      <c r="S937" s="295"/>
      <c r="T937" s="295"/>
      <c r="U937" s="295"/>
      <c r="V937" s="295"/>
      <c r="W937" s="295"/>
      <c r="X937" s="295"/>
      <c r="Y937" s="295"/>
      <c r="Z937" s="295"/>
      <c r="AA937" s="295"/>
      <c r="AB937" s="295"/>
      <c r="AC937" s="295"/>
    </row>
    <row r="938">
      <c r="A938" s="295"/>
      <c r="B938" s="350"/>
      <c r="C938" s="350"/>
      <c r="D938" s="295"/>
      <c r="E938" s="295"/>
      <c r="F938" s="295"/>
      <c r="G938" s="295"/>
      <c r="H938" s="295"/>
      <c r="I938" s="351"/>
      <c r="J938" s="295"/>
      <c r="K938" s="295"/>
      <c r="L938" s="295"/>
      <c r="M938" s="295"/>
      <c r="N938" s="295"/>
      <c r="O938" s="295"/>
      <c r="P938" s="295"/>
      <c r="Q938" s="295"/>
      <c r="R938" s="295"/>
      <c r="S938" s="295"/>
      <c r="T938" s="295"/>
      <c r="U938" s="295"/>
      <c r="V938" s="295"/>
      <c r="W938" s="295"/>
      <c r="X938" s="295"/>
      <c r="Y938" s="295"/>
      <c r="Z938" s="295"/>
      <c r="AA938" s="295"/>
      <c r="AB938" s="295"/>
      <c r="AC938" s="295"/>
    </row>
    <row r="939">
      <c r="A939" s="295"/>
      <c r="B939" s="350"/>
      <c r="C939" s="350"/>
      <c r="D939" s="295"/>
      <c r="E939" s="295"/>
      <c r="F939" s="295"/>
      <c r="G939" s="295"/>
      <c r="H939" s="295"/>
      <c r="I939" s="351"/>
      <c r="J939" s="295"/>
      <c r="K939" s="295"/>
      <c r="L939" s="295"/>
      <c r="M939" s="295"/>
      <c r="N939" s="295"/>
      <c r="O939" s="295"/>
      <c r="P939" s="295"/>
      <c r="Q939" s="295"/>
      <c r="R939" s="295"/>
      <c r="S939" s="295"/>
      <c r="T939" s="295"/>
      <c r="U939" s="295"/>
      <c r="V939" s="295"/>
      <c r="W939" s="295"/>
      <c r="X939" s="295"/>
      <c r="Y939" s="295"/>
      <c r="Z939" s="295"/>
      <c r="AA939" s="295"/>
      <c r="AB939" s="295"/>
      <c r="AC939" s="295"/>
    </row>
    <row r="940">
      <c r="A940" s="295"/>
      <c r="B940" s="350"/>
      <c r="C940" s="350"/>
      <c r="D940" s="295"/>
      <c r="E940" s="295"/>
      <c r="F940" s="295"/>
      <c r="G940" s="295"/>
      <c r="H940" s="295"/>
      <c r="I940" s="351"/>
      <c r="J940" s="295"/>
      <c r="K940" s="295"/>
      <c r="L940" s="295"/>
      <c r="M940" s="295"/>
      <c r="N940" s="295"/>
      <c r="O940" s="295"/>
      <c r="P940" s="295"/>
      <c r="Q940" s="295"/>
      <c r="R940" s="295"/>
      <c r="S940" s="295"/>
      <c r="T940" s="295"/>
      <c r="U940" s="295"/>
      <c r="V940" s="295"/>
      <c r="W940" s="295"/>
      <c r="X940" s="295"/>
      <c r="Y940" s="295"/>
      <c r="Z940" s="295"/>
      <c r="AA940" s="295"/>
      <c r="AB940" s="295"/>
      <c r="AC940" s="295"/>
    </row>
    <row r="941">
      <c r="A941" s="295"/>
      <c r="B941" s="350"/>
      <c r="C941" s="350"/>
      <c r="D941" s="295"/>
      <c r="E941" s="295"/>
      <c r="F941" s="295"/>
      <c r="G941" s="295"/>
      <c r="H941" s="295"/>
      <c r="I941" s="351"/>
      <c r="J941" s="295"/>
      <c r="K941" s="295"/>
      <c r="L941" s="295"/>
      <c r="M941" s="295"/>
      <c r="N941" s="295"/>
      <c r="O941" s="295"/>
      <c r="P941" s="295"/>
      <c r="Q941" s="295"/>
      <c r="R941" s="295"/>
      <c r="S941" s="295"/>
      <c r="T941" s="295"/>
      <c r="U941" s="295"/>
      <c r="V941" s="295"/>
      <c r="W941" s="295"/>
      <c r="X941" s="295"/>
      <c r="Y941" s="295"/>
      <c r="Z941" s="295"/>
      <c r="AA941" s="295"/>
      <c r="AB941" s="295"/>
      <c r="AC941" s="295"/>
    </row>
    <row r="942">
      <c r="A942" s="295"/>
      <c r="B942" s="350"/>
      <c r="C942" s="350"/>
      <c r="D942" s="295"/>
      <c r="E942" s="295"/>
      <c r="F942" s="295"/>
      <c r="G942" s="295"/>
      <c r="H942" s="295"/>
      <c r="I942" s="351"/>
      <c r="J942" s="295"/>
      <c r="K942" s="295"/>
      <c r="L942" s="295"/>
      <c r="M942" s="295"/>
      <c r="N942" s="295"/>
      <c r="O942" s="295"/>
      <c r="P942" s="295"/>
      <c r="Q942" s="295"/>
      <c r="R942" s="295"/>
      <c r="S942" s="295"/>
      <c r="T942" s="295"/>
      <c r="U942" s="295"/>
      <c r="V942" s="295"/>
      <c r="W942" s="295"/>
      <c r="X942" s="295"/>
      <c r="Y942" s="295"/>
      <c r="Z942" s="295"/>
      <c r="AA942" s="295"/>
      <c r="AB942" s="295"/>
      <c r="AC942" s="295"/>
    </row>
    <row r="943">
      <c r="A943" s="295"/>
      <c r="B943" s="350"/>
      <c r="C943" s="350"/>
      <c r="D943" s="295"/>
      <c r="E943" s="295"/>
      <c r="F943" s="295"/>
      <c r="G943" s="295"/>
      <c r="H943" s="295"/>
      <c r="I943" s="351"/>
      <c r="J943" s="295"/>
      <c r="K943" s="295"/>
      <c r="L943" s="295"/>
      <c r="M943" s="295"/>
      <c r="N943" s="295"/>
      <c r="O943" s="295"/>
      <c r="P943" s="295"/>
      <c r="Q943" s="295"/>
      <c r="R943" s="295"/>
      <c r="S943" s="295"/>
      <c r="T943" s="295"/>
      <c r="U943" s="295"/>
      <c r="V943" s="295"/>
      <c r="W943" s="295"/>
      <c r="X943" s="295"/>
      <c r="Y943" s="295"/>
      <c r="Z943" s="295"/>
      <c r="AA943" s="295"/>
      <c r="AB943" s="295"/>
      <c r="AC943" s="295"/>
    </row>
    <row r="944">
      <c r="A944" s="295"/>
      <c r="B944" s="350"/>
      <c r="C944" s="350"/>
      <c r="D944" s="295"/>
      <c r="E944" s="295"/>
      <c r="F944" s="295"/>
      <c r="G944" s="295"/>
      <c r="H944" s="295"/>
      <c r="I944" s="351"/>
      <c r="J944" s="295"/>
      <c r="K944" s="295"/>
      <c r="L944" s="295"/>
      <c r="M944" s="295"/>
      <c r="N944" s="295"/>
      <c r="O944" s="295"/>
      <c r="P944" s="295"/>
      <c r="Q944" s="295"/>
      <c r="R944" s="295"/>
      <c r="S944" s="295"/>
      <c r="T944" s="295"/>
      <c r="U944" s="295"/>
      <c r="V944" s="295"/>
      <c r="W944" s="295"/>
      <c r="X944" s="295"/>
      <c r="Y944" s="295"/>
      <c r="Z944" s="295"/>
      <c r="AA944" s="295"/>
      <c r="AB944" s="295"/>
      <c r="AC944" s="295"/>
    </row>
    <row r="945">
      <c r="A945" s="295"/>
      <c r="B945" s="350"/>
      <c r="C945" s="350"/>
      <c r="D945" s="295"/>
      <c r="E945" s="295"/>
      <c r="F945" s="295"/>
      <c r="G945" s="295"/>
      <c r="H945" s="295"/>
      <c r="I945" s="351"/>
      <c r="J945" s="295"/>
      <c r="K945" s="295"/>
      <c r="L945" s="295"/>
      <c r="M945" s="295"/>
      <c r="N945" s="295"/>
      <c r="O945" s="295"/>
      <c r="P945" s="295"/>
      <c r="Q945" s="295"/>
      <c r="R945" s="295"/>
      <c r="S945" s="295"/>
      <c r="T945" s="295"/>
      <c r="U945" s="295"/>
      <c r="V945" s="295"/>
      <c r="W945" s="295"/>
      <c r="X945" s="295"/>
      <c r="Y945" s="295"/>
      <c r="Z945" s="295"/>
      <c r="AA945" s="295"/>
      <c r="AB945" s="295"/>
      <c r="AC945" s="295"/>
    </row>
    <row r="946">
      <c r="A946" s="295"/>
      <c r="B946" s="350"/>
      <c r="C946" s="350"/>
      <c r="D946" s="295"/>
      <c r="E946" s="295"/>
      <c r="F946" s="295"/>
      <c r="G946" s="295"/>
      <c r="H946" s="295"/>
      <c r="I946" s="351"/>
      <c r="J946" s="295"/>
      <c r="K946" s="295"/>
      <c r="L946" s="295"/>
      <c r="M946" s="295"/>
      <c r="N946" s="295"/>
      <c r="O946" s="295"/>
      <c r="P946" s="295"/>
      <c r="Q946" s="295"/>
      <c r="R946" s="295"/>
      <c r="S946" s="295"/>
      <c r="T946" s="295"/>
      <c r="U946" s="295"/>
      <c r="V946" s="295"/>
      <c r="W946" s="295"/>
      <c r="X946" s="295"/>
      <c r="Y946" s="295"/>
      <c r="Z946" s="295"/>
      <c r="AA946" s="295"/>
      <c r="AB946" s="295"/>
      <c r="AC946" s="295"/>
    </row>
    <row r="947">
      <c r="A947" s="295"/>
      <c r="B947" s="350"/>
      <c r="C947" s="350"/>
      <c r="D947" s="295"/>
      <c r="E947" s="295"/>
      <c r="F947" s="295"/>
      <c r="G947" s="295"/>
      <c r="H947" s="295"/>
      <c r="I947" s="351"/>
      <c r="J947" s="295"/>
      <c r="K947" s="295"/>
      <c r="L947" s="295"/>
      <c r="M947" s="295"/>
      <c r="N947" s="295"/>
      <c r="O947" s="295"/>
      <c r="P947" s="295"/>
      <c r="Q947" s="295"/>
      <c r="R947" s="295"/>
      <c r="S947" s="295"/>
      <c r="T947" s="295"/>
      <c r="U947" s="295"/>
      <c r="V947" s="295"/>
      <c r="W947" s="295"/>
      <c r="X947" s="295"/>
      <c r="Y947" s="295"/>
      <c r="Z947" s="295"/>
      <c r="AA947" s="295"/>
      <c r="AB947" s="295"/>
      <c r="AC947" s="295"/>
    </row>
    <row r="948">
      <c r="A948" s="295"/>
      <c r="B948" s="350"/>
      <c r="C948" s="350"/>
      <c r="D948" s="295"/>
      <c r="E948" s="295"/>
      <c r="F948" s="295"/>
      <c r="G948" s="295"/>
      <c r="H948" s="295"/>
      <c r="I948" s="351"/>
      <c r="J948" s="295"/>
      <c r="K948" s="295"/>
      <c r="L948" s="295"/>
      <c r="M948" s="295"/>
      <c r="N948" s="295"/>
      <c r="O948" s="295"/>
      <c r="P948" s="295"/>
      <c r="Q948" s="295"/>
      <c r="R948" s="295"/>
      <c r="S948" s="295"/>
      <c r="T948" s="295"/>
      <c r="U948" s="295"/>
      <c r="V948" s="295"/>
      <c r="W948" s="295"/>
      <c r="X948" s="295"/>
      <c r="Y948" s="295"/>
      <c r="Z948" s="295"/>
      <c r="AA948" s="295"/>
      <c r="AB948" s="295"/>
      <c r="AC948" s="295"/>
    </row>
    <row r="949">
      <c r="A949" s="295"/>
      <c r="B949" s="350"/>
      <c r="C949" s="350"/>
      <c r="D949" s="295"/>
      <c r="E949" s="295"/>
      <c r="F949" s="295"/>
      <c r="G949" s="295"/>
      <c r="H949" s="295"/>
      <c r="I949" s="351"/>
      <c r="J949" s="295"/>
      <c r="K949" s="295"/>
      <c r="L949" s="295"/>
      <c r="M949" s="295"/>
      <c r="N949" s="295"/>
      <c r="O949" s="295"/>
      <c r="P949" s="295"/>
      <c r="Q949" s="295"/>
      <c r="R949" s="295"/>
      <c r="S949" s="295"/>
      <c r="T949" s="295"/>
      <c r="U949" s="295"/>
      <c r="V949" s="295"/>
      <c r="W949" s="295"/>
      <c r="X949" s="295"/>
      <c r="Y949" s="295"/>
      <c r="Z949" s="295"/>
      <c r="AA949" s="295"/>
      <c r="AB949" s="295"/>
      <c r="AC949" s="295"/>
    </row>
    <row r="950">
      <c r="A950" s="295"/>
      <c r="B950" s="350"/>
      <c r="C950" s="350"/>
      <c r="D950" s="295"/>
      <c r="E950" s="295"/>
      <c r="F950" s="295"/>
      <c r="G950" s="295"/>
      <c r="H950" s="295"/>
      <c r="I950" s="351"/>
      <c r="J950" s="295"/>
      <c r="K950" s="295"/>
      <c r="L950" s="295"/>
      <c r="M950" s="295"/>
      <c r="N950" s="295"/>
      <c r="O950" s="295"/>
      <c r="P950" s="295"/>
      <c r="Q950" s="295"/>
      <c r="R950" s="295"/>
      <c r="S950" s="295"/>
      <c r="T950" s="295"/>
      <c r="U950" s="295"/>
      <c r="V950" s="295"/>
      <c r="W950" s="295"/>
      <c r="X950" s="295"/>
      <c r="Y950" s="295"/>
      <c r="Z950" s="295"/>
      <c r="AA950" s="295"/>
      <c r="AB950" s="295"/>
      <c r="AC950" s="295"/>
    </row>
    <row r="951">
      <c r="A951" s="295"/>
      <c r="B951" s="350"/>
      <c r="C951" s="350"/>
      <c r="D951" s="295"/>
      <c r="E951" s="295"/>
      <c r="F951" s="295"/>
      <c r="G951" s="295"/>
      <c r="H951" s="295"/>
      <c r="I951" s="351"/>
      <c r="J951" s="295"/>
      <c r="K951" s="295"/>
      <c r="L951" s="295"/>
      <c r="M951" s="295"/>
      <c r="N951" s="295"/>
      <c r="O951" s="295"/>
      <c r="P951" s="295"/>
      <c r="Q951" s="295"/>
      <c r="R951" s="295"/>
      <c r="S951" s="295"/>
      <c r="T951" s="295"/>
      <c r="U951" s="295"/>
      <c r="V951" s="295"/>
      <c r="W951" s="295"/>
      <c r="X951" s="295"/>
      <c r="Y951" s="295"/>
      <c r="Z951" s="295"/>
      <c r="AA951" s="295"/>
      <c r="AB951" s="295"/>
      <c r="AC951" s="295"/>
    </row>
    <row r="952">
      <c r="A952" s="295"/>
      <c r="B952" s="350"/>
      <c r="C952" s="350"/>
      <c r="D952" s="295"/>
      <c r="E952" s="295"/>
      <c r="F952" s="295"/>
      <c r="G952" s="295"/>
      <c r="H952" s="295"/>
      <c r="I952" s="351"/>
      <c r="J952" s="295"/>
      <c r="K952" s="295"/>
      <c r="L952" s="295"/>
      <c r="M952" s="295"/>
      <c r="N952" s="295"/>
      <c r="O952" s="295"/>
      <c r="P952" s="295"/>
      <c r="Q952" s="295"/>
      <c r="R952" s="295"/>
      <c r="S952" s="295"/>
      <c r="T952" s="295"/>
      <c r="U952" s="295"/>
      <c r="V952" s="295"/>
      <c r="W952" s="295"/>
      <c r="X952" s="295"/>
      <c r="Y952" s="295"/>
      <c r="Z952" s="295"/>
      <c r="AA952" s="295"/>
      <c r="AB952" s="295"/>
      <c r="AC952" s="295"/>
    </row>
    <row r="953">
      <c r="A953" s="295"/>
      <c r="B953" s="350"/>
      <c r="C953" s="350"/>
      <c r="D953" s="295"/>
      <c r="E953" s="295"/>
      <c r="F953" s="295"/>
      <c r="G953" s="295"/>
      <c r="H953" s="295"/>
      <c r="I953" s="351"/>
      <c r="J953" s="295"/>
      <c r="K953" s="295"/>
      <c r="L953" s="295"/>
      <c r="M953" s="295"/>
      <c r="N953" s="295"/>
      <c r="O953" s="295"/>
      <c r="P953" s="295"/>
      <c r="Q953" s="295"/>
      <c r="R953" s="295"/>
      <c r="S953" s="295"/>
      <c r="T953" s="295"/>
      <c r="U953" s="295"/>
      <c r="V953" s="295"/>
      <c r="W953" s="295"/>
      <c r="X953" s="295"/>
      <c r="Y953" s="295"/>
      <c r="Z953" s="295"/>
      <c r="AA953" s="295"/>
      <c r="AB953" s="295"/>
      <c r="AC953" s="295"/>
    </row>
    <row r="954">
      <c r="A954" s="295"/>
      <c r="B954" s="350"/>
      <c r="C954" s="350"/>
      <c r="D954" s="295"/>
      <c r="E954" s="295"/>
      <c r="F954" s="295"/>
      <c r="G954" s="295"/>
      <c r="H954" s="295"/>
      <c r="I954" s="351"/>
      <c r="J954" s="295"/>
      <c r="K954" s="295"/>
      <c r="L954" s="295"/>
      <c r="M954" s="295"/>
      <c r="N954" s="295"/>
      <c r="O954" s="295"/>
      <c r="P954" s="295"/>
      <c r="Q954" s="295"/>
      <c r="R954" s="295"/>
      <c r="S954" s="295"/>
      <c r="T954" s="295"/>
      <c r="U954" s="295"/>
      <c r="V954" s="295"/>
      <c r="W954" s="295"/>
      <c r="X954" s="295"/>
      <c r="Y954" s="295"/>
      <c r="Z954" s="295"/>
      <c r="AA954" s="295"/>
      <c r="AB954" s="295"/>
      <c r="AC954" s="295"/>
    </row>
    <row r="955">
      <c r="A955" s="295"/>
      <c r="B955" s="350"/>
      <c r="C955" s="350"/>
      <c r="D955" s="295"/>
      <c r="E955" s="295"/>
      <c r="F955" s="295"/>
      <c r="G955" s="295"/>
      <c r="H955" s="295"/>
      <c r="I955" s="351"/>
      <c r="J955" s="295"/>
      <c r="K955" s="295"/>
      <c r="L955" s="295"/>
      <c r="M955" s="295"/>
      <c r="N955" s="295"/>
      <c r="O955" s="295"/>
      <c r="P955" s="295"/>
      <c r="Q955" s="295"/>
      <c r="R955" s="295"/>
      <c r="S955" s="295"/>
      <c r="T955" s="295"/>
      <c r="U955" s="295"/>
      <c r="V955" s="295"/>
      <c r="W955" s="295"/>
      <c r="X955" s="295"/>
      <c r="Y955" s="295"/>
      <c r="Z955" s="295"/>
      <c r="AA955" s="295"/>
      <c r="AB955" s="295"/>
      <c r="AC955" s="295"/>
    </row>
    <row r="956">
      <c r="A956" s="295"/>
      <c r="B956" s="350"/>
      <c r="C956" s="350"/>
      <c r="D956" s="295"/>
      <c r="E956" s="295"/>
      <c r="F956" s="295"/>
      <c r="G956" s="295"/>
      <c r="H956" s="295"/>
      <c r="I956" s="351"/>
      <c r="J956" s="295"/>
      <c r="K956" s="295"/>
      <c r="L956" s="295"/>
      <c r="M956" s="295"/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  <c r="X956" s="295"/>
      <c r="Y956" s="295"/>
      <c r="Z956" s="295"/>
      <c r="AA956" s="295"/>
      <c r="AB956" s="295"/>
      <c r="AC956" s="295"/>
    </row>
    <row r="957">
      <c r="A957" s="295"/>
      <c r="B957" s="350"/>
      <c r="C957" s="350"/>
      <c r="D957" s="295"/>
      <c r="E957" s="295"/>
      <c r="F957" s="295"/>
      <c r="G957" s="295"/>
      <c r="H957" s="295"/>
      <c r="I957" s="351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95"/>
      <c r="Y957" s="295"/>
      <c r="Z957" s="295"/>
      <c r="AA957" s="295"/>
      <c r="AB957" s="295"/>
      <c r="AC957" s="295"/>
    </row>
    <row r="958">
      <c r="A958" s="295"/>
      <c r="B958" s="350"/>
      <c r="C958" s="350"/>
      <c r="D958" s="295"/>
      <c r="E958" s="295"/>
      <c r="F958" s="295"/>
      <c r="G958" s="295"/>
      <c r="H958" s="295"/>
      <c r="I958" s="351"/>
      <c r="J958" s="295"/>
      <c r="K958" s="295"/>
      <c r="L958" s="295"/>
      <c r="M958" s="295"/>
      <c r="N958" s="295"/>
      <c r="O958" s="295"/>
      <c r="P958" s="295"/>
      <c r="Q958" s="295"/>
      <c r="R958" s="295"/>
      <c r="S958" s="295"/>
      <c r="T958" s="295"/>
      <c r="U958" s="295"/>
      <c r="V958" s="295"/>
      <c r="W958" s="295"/>
      <c r="X958" s="295"/>
      <c r="Y958" s="295"/>
      <c r="Z958" s="295"/>
      <c r="AA958" s="295"/>
      <c r="AB958" s="295"/>
      <c r="AC958" s="295"/>
    </row>
    <row r="959">
      <c r="A959" s="295"/>
      <c r="B959" s="350"/>
      <c r="C959" s="350"/>
      <c r="D959" s="295"/>
      <c r="E959" s="295"/>
      <c r="F959" s="295"/>
      <c r="G959" s="295"/>
      <c r="H959" s="295"/>
      <c r="I959" s="351"/>
      <c r="J959" s="295"/>
      <c r="K959" s="295"/>
      <c r="L959" s="295"/>
      <c r="M959" s="295"/>
      <c r="N959" s="295"/>
      <c r="O959" s="295"/>
      <c r="P959" s="295"/>
      <c r="Q959" s="295"/>
      <c r="R959" s="295"/>
      <c r="S959" s="295"/>
      <c r="T959" s="295"/>
      <c r="U959" s="295"/>
      <c r="V959" s="295"/>
      <c r="W959" s="295"/>
      <c r="X959" s="295"/>
      <c r="Y959" s="295"/>
      <c r="Z959" s="295"/>
      <c r="AA959" s="295"/>
      <c r="AB959" s="295"/>
      <c r="AC959" s="295"/>
    </row>
    <row r="960">
      <c r="A960" s="295"/>
      <c r="B960" s="350"/>
      <c r="C960" s="350"/>
      <c r="D960" s="295"/>
      <c r="E960" s="295"/>
      <c r="F960" s="295"/>
      <c r="G960" s="295"/>
      <c r="H960" s="295"/>
      <c r="I960" s="351"/>
      <c r="J960" s="295"/>
      <c r="K960" s="295"/>
      <c r="L960" s="295"/>
      <c r="M960" s="295"/>
      <c r="N960" s="295"/>
      <c r="O960" s="295"/>
      <c r="P960" s="295"/>
      <c r="Q960" s="295"/>
      <c r="R960" s="295"/>
      <c r="S960" s="295"/>
      <c r="T960" s="295"/>
      <c r="U960" s="295"/>
      <c r="V960" s="295"/>
      <c r="W960" s="295"/>
      <c r="X960" s="295"/>
      <c r="Y960" s="295"/>
      <c r="Z960" s="295"/>
      <c r="AA960" s="295"/>
      <c r="AB960" s="295"/>
      <c r="AC960" s="295"/>
    </row>
    <row r="961">
      <c r="A961" s="295"/>
      <c r="B961" s="350"/>
      <c r="C961" s="350"/>
      <c r="D961" s="295"/>
      <c r="E961" s="295"/>
      <c r="F961" s="295"/>
      <c r="G961" s="295"/>
      <c r="H961" s="295"/>
      <c r="I961" s="351"/>
      <c r="J961" s="295"/>
      <c r="K961" s="295"/>
      <c r="L961" s="295"/>
      <c r="M961" s="295"/>
      <c r="N961" s="295"/>
      <c r="O961" s="295"/>
      <c r="P961" s="295"/>
      <c r="Q961" s="295"/>
      <c r="R961" s="295"/>
      <c r="S961" s="295"/>
      <c r="T961" s="295"/>
      <c r="U961" s="295"/>
      <c r="V961" s="295"/>
      <c r="W961" s="295"/>
      <c r="X961" s="295"/>
      <c r="Y961" s="295"/>
      <c r="Z961" s="295"/>
      <c r="AA961" s="295"/>
      <c r="AB961" s="295"/>
      <c r="AC961" s="295"/>
    </row>
    <row r="962">
      <c r="A962" s="295"/>
      <c r="B962" s="350"/>
      <c r="C962" s="350"/>
      <c r="D962" s="295"/>
      <c r="E962" s="295"/>
      <c r="F962" s="295"/>
      <c r="G962" s="295"/>
      <c r="H962" s="295"/>
      <c r="I962" s="351"/>
      <c r="J962" s="295"/>
      <c r="K962" s="295"/>
      <c r="L962" s="295"/>
      <c r="M962" s="295"/>
      <c r="N962" s="295"/>
      <c r="O962" s="295"/>
      <c r="P962" s="295"/>
      <c r="Q962" s="295"/>
      <c r="R962" s="295"/>
      <c r="S962" s="295"/>
      <c r="T962" s="295"/>
      <c r="U962" s="295"/>
      <c r="V962" s="295"/>
      <c r="W962" s="295"/>
      <c r="X962" s="295"/>
      <c r="Y962" s="295"/>
      <c r="Z962" s="295"/>
      <c r="AA962" s="295"/>
      <c r="AB962" s="295"/>
      <c r="AC962" s="295"/>
    </row>
    <row r="963">
      <c r="A963" s="295"/>
      <c r="B963" s="350"/>
      <c r="C963" s="350"/>
      <c r="D963" s="295"/>
      <c r="E963" s="295"/>
      <c r="F963" s="295"/>
      <c r="G963" s="295"/>
      <c r="H963" s="295"/>
      <c r="I963" s="351"/>
      <c r="J963" s="295"/>
      <c r="K963" s="295"/>
      <c r="L963" s="295"/>
      <c r="M963" s="295"/>
      <c r="N963" s="295"/>
      <c r="O963" s="295"/>
      <c r="P963" s="295"/>
      <c r="Q963" s="295"/>
      <c r="R963" s="295"/>
      <c r="S963" s="295"/>
      <c r="T963" s="295"/>
      <c r="U963" s="295"/>
      <c r="V963" s="295"/>
      <c r="W963" s="295"/>
      <c r="X963" s="295"/>
      <c r="Y963" s="295"/>
      <c r="Z963" s="295"/>
      <c r="AA963" s="295"/>
      <c r="AB963" s="295"/>
      <c r="AC963" s="295"/>
    </row>
    <row r="964">
      <c r="A964" s="295"/>
      <c r="B964" s="350"/>
      <c r="C964" s="350"/>
      <c r="D964" s="295"/>
      <c r="E964" s="295"/>
      <c r="F964" s="295"/>
      <c r="G964" s="295"/>
      <c r="H964" s="295"/>
      <c r="I964" s="351"/>
      <c r="J964" s="295"/>
      <c r="K964" s="295"/>
      <c r="L964" s="295"/>
      <c r="M964" s="295"/>
      <c r="N964" s="295"/>
      <c r="O964" s="295"/>
      <c r="P964" s="295"/>
      <c r="Q964" s="295"/>
      <c r="R964" s="295"/>
      <c r="S964" s="295"/>
      <c r="T964" s="295"/>
      <c r="U964" s="295"/>
      <c r="V964" s="295"/>
      <c r="W964" s="295"/>
      <c r="X964" s="295"/>
      <c r="Y964" s="295"/>
      <c r="Z964" s="295"/>
      <c r="AA964" s="295"/>
      <c r="AB964" s="295"/>
      <c r="AC964" s="295"/>
    </row>
    <row r="965">
      <c r="A965" s="295"/>
      <c r="B965" s="350"/>
      <c r="C965" s="350"/>
      <c r="D965" s="295"/>
      <c r="E965" s="295"/>
      <c r="F965" s="295"/>
      <c r="G965" s="295"/>
      <c r="H965" s="295"/>
      <c r="I965" s="351"/>
      <c r="J965" s="295"/>
      <c r="K965" s="295"/>
      <c r="L965" s="295"/>
      <c r="M965" s="295"/>
      <c r="N965" s="295"/>
      <c r="O965" s="295"/>
      <c r="P965" s="295"/>
      <c r="Q965" s="295"/>
      <c r="R965" s="295"/>
      <c r="S965" s="295"/>
      <c r="T965" s="295"/>
      <c r="U965" s="295"/>
      <c r="V965" s="295"/>
      <c r="W965" s="295"/>
      <c r="X965" s="295"/>
      <c r="Y965" s="295"/>
      <c r="Z965" s="295"/>
      <c r="AA965" s="295"/>
      <c r="AB965" s="295"/>
      <c r="AC965" s="295"/>
    </row>
    <row r="966">
      <c r="A966" s="295"/>
      <c r="B966" s="350"/>
      <c r="C966" s="350"/>
      <c r="D966" s="295"/>
      <c r="E966" s="295"/>
      <c r="F966" s="295"/>
      <c r="G966" s="295"/>
      <c r="H966" s="295"/>
      <c r="I966" s="351"/>
      <c r="J966" s="295"/>
      <c r="K966" s="295"/>
      <c r="L966" s="295"/>
      <c r="M966" s="295"/>
      <c r="N966" s="295"/>
      <c r="O966" s="295"/>
      <c r="P966" s="295"/>
      <c r="Q966" s="295"/>
      <c r="R966" s="295"/>
      <c r="S966" s="295"/>
      <c r="T966" s="295"/>
      <c r="U966" s="295"/>
      <c r="V966" s="295"/>
      <c r="W966" s="295"/>
      <c r="X966" s="295"/>
      <c r="Y966" s="295"/>
      <c r="Z966" s="295"/>
      <c r="AA966" s="295"/>
      <c r="AB966" s="295"/>
      <c r="AC966" s="295"/>
    </row>
    <row r="967">
      <c r="A967" s="295"/>
      <c r="B967" s="350"/>
      <c r="C967" s="350"/>
      <c r="D967" s="295"/>
      <c r="E967" s="295"/>
      <c r="F967" s="295"/>
      <c r="G967" s="295"/>
      <c r="H967" s="295"/>
      <c r="I967" s="351"/>
      <c r="J967" s="295"/>
      <c r="K967" s="295"/>
      <c r="L967" s="295"/>
      <c r="M967" s="295"/>
      <c r="N967" s="295"/>
      <c r="O967" s="295"/>
      <c r="P967" s="295"/>
      <c r="Q967" s="295"/>
      <c r="R967" s="295"/>
      <c r="S967" s="295"/>
      <c r="T967" s="295"/>
      <c r="U967" s="295"/>
      <c r="V967" s="295"/>
      <c r="W967" s="295"/>
      <c r="X967" s="295"/>
      <c r="Y967" s="295"/>
      <c r="Z967" s="295"/>
      <c r="AA967" s="295"/>
      <c r="AB967" s="295"/>
      <c r="AC967" s="295"/>
    </row>
    <row r="968">
      <c r="A968" s="295"/>
      <c r="B968" s="350"/>
      <c r="C968" s="350"/>
      <c r="D968" s="295"/>
      <c r="E968" s="295"/>
      <c r="F968" s="295"/>
      <c r="G968" s="295"/>
      <c r="H968" s="295"/>
      <c r="I968" s="351"/>
      <c r="J968" s="295"/>
      <c r="K968" s="295"/>
      <c r="L968" s="295"/>
      <c r="M968" s="295"/>
      <c r="N968" s="295"/>
      <c r="O968" s="295"/>
      <c r="P968" s="295"/>
      <c r="Q968" s="295"/>
      <c r="R968" s="295"/>
      <c r="S968" s="295"/>
      <c r="T968" s="295"/>
      <c r="U968" s="295"/>
      <c r="V968" s="295"/>
      <c r="W968" s="295"/>
      <c r="X968" s="295"/>
      <c r="Y968" s="295"/>
      <c r="Z968" s="295"/>
      <c r="AA968" s="295"/>
      <c r="AB968" s="295"/>
      <c r="AC968" s="295"/>
    </row>
    <row r="969">
      <c r="A969" s="295"/>
      <c r="B969" s="350"/>
      <c r="C969" s="350"/>
      <c r="D969" s="295"/>
      <c r="E969" s="295"/>
      <c r="F969" s="295"/>
      <c r="G969" s="295"/>
      <c r="H969" s="295"/>
      <c r="I969" s="351"/>
      <c r="J969" s="295"/>
      <c r="K969" s="295"/>
      <c r="L969" s="295"/>
      <c r="M969" s="295"/>
      <c r="N969" s="295"/>
      <c r="O969" s="295"/>
      <c r="P969" s="295"/>
      <c r="Q969" s="295"/>
      <c r="R969" s="295"/>
      <c r="S969" s="295"/>
      <c r="T969" s="295"/>
      <c r="U969" s="295"/>
      <c r="V969" s="295"/>
      <c r="W969" s="295"/>
      <c r="X969" s="295"/>
      <c r="Y969" s="295"/>
      <c r="Z969" s="295"/>
      <c r="AA969" s="295"/>
      <c r="AB969" s="295"/>
      <c r="AC969" s="295"/>
    </row>
    <row r="970">
      <c r="A970" s="295"/>
      <c r="B970" s="350"/>
      <c r="C970" s="350"/>
      <c r="D970" s="295"/>
      <c r="E970" s="295"/>
      <c r="F970" s="295"/>
      <c r="G970" s="295"/>
      <c r="H970" s="295"/>
      <c r="I970" s="351"/>
      <c r="J970" s="295"/>
      <c r="K970" s="295"/>
      <c r="L970" s="295"/>
      <c r="M970" s="295"/>
      <c r="N970" s="295"/>
      <c r="O970" s="295"/>
      <c r="P970" s="295"/>
      <c r="Q970" s="295"/>
      <c r="R970" s="295"/>
      <c r="S970" s="295"/>
      <c r="T970" s="295"/>
      <c r="U970" s="295"/>
      <c r="V970" s="295"/>
      <c r="W970" s="295"/>
      <c r="X970" s="295"/>
      <c r="Y970" s="295"/>
      <c r="Z970" s="295"/>
      <c r="AA970" s="295"/>
      <c r="AB970" s="295"/>
      <c r="AC970" s="295"/>
    </row>
    <row r="971">
      <c r="A971" s="295"/>
      <c r="B971" s="350"/>
      <c r="C971" s="350"/>
      <c r="D971" s="295"/>
      <c r="E971" s="295"/>
      <c r="F971" s="295"/>
      <c r="G971" s="295"/>
      <c r="H971" s="295"/>
      <c r="I971" s="351"/>
      <c r="J971" s="295"/>
      <c r="K971" s="295"/>
      <c r="L971" s="295"/>
      <c r="M971" s="295"/>
      <c r="N971" s="295"/>
      <c r="O971" s="295"/>
      <c r="P971" s="295"/>
      <c r="Q971" s="295"/>
      <c r="R971" s="295"/>
      <c r="S971" s="295"/>
      <c r="T971" s="295"/>
      <c r="U971" s="295"/>
      <c r="V971" s="295"/>
      <c r="W971" s="295"/>
      <c r="X971" s="295"/>
      <c r="Y971" s="295"/>
      <c r="Z971" s="295"/>
      <c r="AA971" s="295"/>
      <c r="AB971" s="295"/>
      <c r="AC971" s="295"/>
    </row>
    <row r="972">
      <c r="A972" s="295"/>
      <c r="B972" s="350"/>
      <c r="C972" s="350"/>
      <c r="D972" s="295"/>
      <c r="E972" s="295"/>
      <c r="F972" s="295"/>
      <c r="G972" s="295"/>
      <c r="H972" s="295"/>
      <c r="I972" s="351"/>
      <c r="J972" s="295"/>
      <c r="K972" s="295"/>
      <c r="L972" s="295"/>
      <c r="M972" s="295"/>
      <c r="N972" s="295"/>
      <c r="O972" s="295"/>
      <c r="P972" s="295"/>
      <c r="Q972" s="295"/>
      <c r="R972" s="295"/>
      <c r="S972" s="295"/>
      <c r="T972" s="295"/>
      <c r="U972" s="295"/>
      <c r="V972" s="295"/>
      <c r="W972" s="295"/>
      <c r="X972" s="295"/>
      <c r="Y972" s="295"/>
      <c r="Z972" s="295"/>
      <c r="AA972" s="295"/>
      <c r="AB972" s="295"/>
      <c r="AC972" s="295"/>
    </row>
    <row r="973">
      <c r="A973" s="295"/>
      <c r="B973" s="350"/>
      <c r="C973" s="350"/>
      <c r="D973" s="295"/>
      <c r="E973" s="295"/>
      <c r="F973" s="295"/>
      <c r="G973" s="295"/>
      <c r="H973" s="295"/>
      <c r="I973" s="351"/>
      <c r="J973" s="295"/>
      <c r="K973" s="295"/>
      <c r="L973" s="295"/>
      <c r="M973" s="295"/>
      <c r="N973" s="295"/>
      <c r="O973" s="295"/>
      <c r="P973" s="295"/>
      <c r="Q973" s="295"/>
      <c r="R973" s="295"/>
      <c r="S973" s="295"/>
      <c r="T973" s="295"/>
      <c r="U973" s="295"/>
      <c r="V973" s="295"/>
      <c r="W973" s="295"/>
      <c r="X973" s="295"/>
      <c r="Y973" s="295"/>
      <c r="Z973" s="295"/>
      <c r="AA973" s="295"/>
      <c r="AB973" s="295"/>
      <c r="AC973" s="295"/>
    </row>
    <row r="974">
      <c r="A974" s="295"/>
      <c r="B974" s="350"/>
      <c r="C974" s="350"/>
      <c r="D974" s="295"/>
      <c r="E974" s="295"/>
      <c r="F974" s="295"/>
      <c r="G974" s="295"/>
      <c r="H974" s="295"/>
      <c r="I974" s="351"/>
      <c r="J974" s="295"/>
      <c r="K974" s="295"/>
      <c r="L974" s="295"/>
      <c r="M974" s="295"/>
      <c r="N974" s="295"/>
      <c r="O974" s="295"/>
      <c r="P974" s="295"/>
      <c r="Q974" s="295"/>
      <c r="R974" s="295"/>
      <c r="S974" s="295"/>
      <c r="T974" s="295"/>
      <c r="U974" s="295"/>
      <c r="V974" s="295"/>
      <c r="W974" s="295"/>
      <c r="X974" s="295"/>
      <c r="Y974" s="295"/>
      <c r="Z974" s="295"/>
      <c r="AA974" s="295"/>
      <c r="AB974" s="295"/>
      <c r="AC974" s="295"/>
    </row>
    <row r="975">
      <c r="A975" s="295"/>
      <c r="B975" s="350"/>
      <c r="C975" s="350"/>
      <c r="D975" s="295"/>
      <c r="E975" s="295"/>
      <c r="F975" s="295"/>
      <c r="G975" s="295"/>
      <c r="H975" s="295"/>
      <c r="I975" s="351"/>
      <c r="J975" s="295"/>
      <c r="K975" s="295"/>
      <c r="L975" s="295"/>
      <c r="M975" s="295"/>
      <c r="N975" s="295"/>
      <c r="O975" s="295"/>
      <c r="P975" s="295"/>
      <c r="Q975" s="295"/>
      <c r="R975" s="295"/>
      <c r="S975" s="295"/>
      <c r="T975" s="295"/>
      <c r="U975" s="295"/>
      <c r="V975" s="295"/>
      <c r="W975" s="295"/>
      <c r="X975" s="295"/>
      <c r="Y975" s="295"/>
      <c r="Z975" s="295"/>
      <c r="AA975" s="295"/>
      <c r="AB975" s="295"/>
      <c r="AC975" s="295"/>
    </row>
    <row r="976">
      <c r="A976" s="295"/>
      <c r="B976" s="350"/>
      <c r="C976" s="350"/>
      <c r="D976" s="295"/>
      <c r="E976" s="295"/>
      <c r="F976" s="295"/>
      <c r="G976" s="295"/>
      <c r="H976" s="295"/>
      <c r="I976" s="351"/>
      <c r="J976" s="295"/>
      <c r="K976" s="295"/>
      <c r="L976" s="295"/>
      <c r="M976" s="295"/>
      <c r="N976" s="295"/>
      <c r="O976" s="295"/>
      <c r="P976" s="295"/>
      <c r="Q976" s="295"/>
      <c r="R976" s="295"/>
      <c r="S976" s="295"/>
      <c r="T976" s="295"/>
      <c r="U976" s="295"/>
      <c r="V976" s="295"/>
      <c r="W976" s="295"/>
      <c r="X976" s="295"/>
      <c r="Y976" s="295"/>
      <c r="Z976" s="295"/>
      <c r="AA976" s="295"/>
      <c r="AB976" s="295"/>
      <c r="AC976" s="295"/>
    </row>
    <row r="977">
      <c r="A977" s="295"/>
      <c r="B977" s="350"/>
      <c r="C977" s="350"/>
      <c r="D977" s="295"/>
      <c r="E977" s="295"/>
      <c r="F977" s="295"/>
      <c r="G977" s="295"/>
      <c r="H977" s="295"/>
      <c r="I977" s="351"/>
      <c r="J977" s="295"/>
      <c r="K977" s="295"/>
      <c r="L977" s="295"/>
      <c r="M977" s="295"/>
      <c r="N977" s="295"/>
      <c r="O977" s="295"/>
      <c r="P977" s="295"/>
      <c r="Q977" s="295"/>
      <c r="R977" s="295"/>
      <c r="S977" s="295"/>
      <c r="T977" s="295"/>
      <c r="U977" s="295"/>
      <c r="V977" s="295"/>
      <c r="W977" s="295"/>
      <c r="X977" s="295"/>
      <c r="Y977" s="295"/>
      <c r="Z977" s="295"/>
      <c r="AA977" s="295"/>
      <c r="AB977" s="295"/>
      <c r="AC977" s="295"/>
    </row>
    <row r="978">
      <c r="A978" s="295"/>
      <c r="B978" s="350"/>
      <c r="C978" s="350"/>
      <c r="D978" s="295"/>
      <c r="E978" s="295"/>
      <c r="F978" s="295"/>
      <c r="G978" s="295"/>
      <c r="H978" s="295"/>
      <c r="I978" s="351"/>
      <c r="J978" s="295"/>
      <c r="K978" s="295"/>
      <c r="L978" s="295"/>
      <c r="M978" s="295"/>
      <c r="N978" s="295"/>
      <c r="O978" s="295"/>
      <c r="P978" s="295"/>
      <c r="Q978" s="295"/>
      <c r="R978" s="295"/>
      <c r="S978" s="295"/>
      <c r="T978" s="295"/>
      <c r="U978" s="295"/>
      <c r="V978" s="295"/>
      <c r="W978" s="295"/>
      <c r="X978" s="295"/>
      <c r="Y978" s="295"/>
      <c r="Z978" s="295"/>
      <c r="AA978" s="295"/>
      <c r="AB978" s="295"/>
      <c r="AC978" s="295"/>
    </row>
    <row r="979">
      <c r="A979" s="295"/>
      <c r="B979" s="350"/>
      <c r="C979" s="350"/>
      <c r="D979" s="295"/>
      <c r="E979" s="295"/>
      <c r="F979" s="295"/>
      <c r="G979" s="295"/>
      <c r="H979" s="295"/>
      <c r="I979" s="351"/>
      <c r="J979" s="295"/>
      <c r="K979" s="295"/>
      <c r="L979" s="295"/>
      <c r="M979" s="295"/>
      <c r="N979" s="295"/>
      <c r="O979" s="295"/>
      <c r="P979" s="295"/>
      <c r="Q979" s="295"/>
      <c r="R979" s="295"/>
      <c r="S979" s="295"/>
      <c r="T979" s="295"/>
      <c r="U979" s="295"/>
      <c r="V979" s="295"/>
      <c r="W979" s="295"/>
      <c r="X979" s="295"/>
      <c r="Y979" s="295"/>
      <c r="Z979" s="295"/>
      <c r="AA979" s="295"/>
      <c r="AB979" s="295"/>
      <c r="AC979" s="295"/>
    </row>
    <row r="980">
      <c r="A980" s="295"/>
      <c r="B980" s="350"/>
      <c r="C980" s="350"/>
      <c r="D980" s="295"/>
      <c r="E980" s="295"/>
      <c r="F980" s="295"/>
      <c r="G980" s="295"/>
      <c r="H980" s="295"/>
      <c r="I980" s="351"/>
      <c r="J980" s="295"/>
      <c r="K980" s="295"/>
      <c r="L980" s="295"/>
      <c r="M980" s="295"/>
      <c r="N980" s="295"/>
      <c r="O980" s="295"/>
      <c r="P980" s="295"/>
      <c r="Q980" s="295"/>
      <c r="R980" s="295"/>
      <c r="S980" s="295"/>
      <c r="T980" s="295"/>
      <c r="U980" s="295"/>
      <c r="V980" s="295"/>
      <c r="W980" s="295"/>
      <c r="X980" s="295"/>
      <c r="Y980" s="295"/>
      <c r="Z980" s="295"/>
      <c r="AA980" s="295"/>
      <c r="AB980" s="295"/>
      <c r="AC980" s="295"/>
    </row>
    <row r="981">
      <c r="A981" s="295"/>
      <c r="B981" s="350"/>
      <c r="C981" s="350"/>
      <c r="D981" s="295"/>
      <c r="E981" s="295"/>
      <c r="F981" s="295"/>
      <c r="G981" s="295"/>
      <c r="H981" s="295"/>
      <c r="I981" s="351"/>
      <c r="J981" s="295"/>
      <c r="K981" s="295"/>
      <c r="L981" s="295"/>
      <c r="M981" s="295"/>
      <c r="N981" s="295"/>
      <c r="O981" s="295"/>
      <c r="P981" s="295"/>
      <c r="Q981" s="295"/>
      <c r="R981" s="295"/>
      <c r="S981" s="295"/>
      <c r="T981" s="295"/>
      <c r="U981" s="295"/>
      <c r="V981" s="295"/>
      <c r="W981" s="295"/>
      <c r="X981" s="295"/>
      <c r="Y981" s="295"/>
      <c r="Z981" s="295"/>
      <c r="AA981" s="295"/>
      <c r="AB981" s="295"/>
      <c r="AC981" s="295"/>
    </row>
    <row r="982">
      <c r="A982" s="295"/>
      <c r="B982" s="350"/>
      <c r="C982" s="350"/>
      <c r="D982" s="295"/>
      <c r="E982" s="295"/>
      <c r="F982" s="295"/>
      <c r="G982" s="295"/>
      <c r="H982" s="295"/>
      <c r="I982" s="351"/>
      <c r="J982" s="295"/>
      <c r="K982" s="295"/>
      <c r="L982" s="295"/>
      <c r="M982" s="295"/>
      <c r="N982" s="295"/>
      <c r="O982" s="295"/>
      <c r="P982" s="295"/>
      <c r="Q982" s="295"/>
      <c r="R982" s="295"/>
      <c r="S982" s="295"/>
      <c r="T982" s="295"/>
      <c r="U982" s="295"/>
      <c r="V982" s="295"/>
      <c r="W982" s="295"/>
      <c r="X982" s="295"/>
      <c r="Y982" s="295"/>
      <c r="Z982" s="295"/>
      <c r="AA982" s="295"/>
      <c r="AB982" s="295"/>
      <c r="AC982" s="295"/>
    </row>
    <row r="983">
      <c r="A983" s="295"/>
      <c r="B983" s="350"/>
      <c r="C983" s="350"/>
      <c r="D983" s="295"/>
      <c r="E983" s="295"/>
      <c r="F983" s="295"/>
      <c r="G983" s="295"/>
      <c r="H983" s="295"/>
      <c r="I983" s="351"/>
      <c r="J983" s="295"/>
      <c r="K983" s="295"/>
      <c r="L983" s="295"/>
      <c r="M983" s="295"/>
      <c r="N983" s="295"/>
      <c r="O983" s="295"/>
      <c r="P983" s="295"/>
      <c r="Q983" s="295"/>
      <c r="R983" s="295"/>
      <c r="S983" s="295"/>
      <c r="T983" s="295"/>
      <c r="U983" s="295"/>
      <c r="V983" s="295"/>
      <c r="W983" s="295"/>
      <c r="X983" s="295"/>
      <c r="Y983" s="295"/>
      <c r="Z983" s="295"/>
      <c r="AA983" s="295"/>
      <c r="AB983" s="295"/>
      <c r="AC983" s="295"/>
    </row>
    <row r="984">
      <c r="A984" s="295"/>
      <c r="B984" s="350"/>
      <c r="C984" s="350"/>
      <c r="D984" s="295"/>
      <c r="E984" s="295"/>
      <c r="F984" s="295"/>
      <c r="G984" s="295"/>
      <c r="H984" s="295"/>
      <c r="I984" s="351"/>
      <c r="J984" s="295"/>
      <c r="K984" s="295"/>
      <c r="L984" s="295"/>
      <c r="M984" s="295"/>
      <c r="N984" s="295"/>
      <c r="O984" s="295"/>
      <c r="P984" s="295"/>
      <c r="Q984" s="295"/>
      <c r="R984" s="295"/>
      <c r="S984" s="295"/>
      <c r="T984" s="295"/>
      <c r="U984" s="295"/>
      <c r="V984" s="295"/>
      <c r="W984" s="295"/>
      <c r="X984" s="295"/>
      <c r="Y984" s="295"/>
      <c r="Z984" s="295"/>
      <c r="AA984" s="295"/>
      <c r="AB984" s="295"/>
      <c r="AC984" s="295"/>
    </row>
    <row r="985">
      <c r="A985" s="295"/>
      <c r="B985" s="350"/>
      <c r="C985" s="350"/>
      <c r="D985" s="295"/>
      <c r="E985" s="295"/>
      <c r="F985" s="295"/>
      <c r="G985" s="295"/>
      <c r="H985" s="295"/>
      <c r="I985" s="351"/>
      <c r="J985" s="295"/>
      <c r="K985" s="295"/>
      <c r="L985" s="295"/>
      <c r="M985" s="295"/>
      <c r="N985" s="295"/>
      <c r="O985" s="295"/>
      <c r="P985" s="295"/>
      <c r="Q985" s="295"/>
      <c r="R985" s="295"/>
      <c r="S985" s="295"/>
      <c r="T985" s="295"/>
      <c r="U985" s="295"/>
      <c r="V985" s="295"/>
      <c r="W985" s="295"/>
      <c r="X985" s="295"/>
      <c r="Y985" s="295"/>
      <c r="Z985" s="295"/>
      <c r="AA985" s="295"/>
      <c r="AB985" s="295"/>
      <c r="AC985" s="295"/>
    </row>
    <row r="986">
      <c r="A986" s="295"/>
      <c r="B986" s="350"/>
      <c r="C986" s="350"/>
      <c r="D986" s="295"/>
      <c r="E986" s="295"/>
      <c r="F986" s="295"/>
      <c r="G986" s="295"/>
      <c r="H986" s="295"/>
      <c r="I986" s="351"/>
      <c r="J986" s="295"/>
      <c r="K986" s="295"/>
      <c r="L986" s="295"/>
      <c r="M986" s="295"/>
      <c r="N986" s="295"/>
      <c r="O986" s="295"/>
      <c r="P986" s="295"/>
      <c r="Q986" s="295"/>
      <c r="R986" s="295"/>
      <c r="S986" s="295"/>
      <c r="T986" s="295"/>
      <c r="U986" s="295"/>
      <c r="V986" s="295"/>
      <c r="W986" s="295"/>
      <c r="X986" s="295"/>
      <c r="Y986" s="295"/>
      <c r="Z986" s="295"/>
      <c r="AA986" s="295"/>
      <c r="AB986" s="295"/>
      <c r="AC986" s="295"/>
    </row>
    <row r="987">
      <c r="A987" s="295"/>
      <c r="B987" s="350"/>
      <c r="C987" s="350"/>
      <c r="D987" s="295"/>
      <c r="E987" s="295"/>
      <c r="F987" s="295"/>
      <c r="G987" s="295"/>
      <c r="H987" s="295"/>
      <c r="I987" s="351"/>
      <c r="J987" s="295"/>
      <c r="K987" s="295"/>
      <c r="L987" s="295"/>
      <c r="M987" s="295"/>
      <c r="N987" s="295"/>
      <c r="O987" s="295"/>
      <c r="P987" s="295"/>
      <c r="Q987" s="295"/>
      <c r="R987" s="295"/>
      <c r="S987" s="295"/>
      <c r="T987" s="295"/>
      <c r="U987" s="295"/>
      <c r="V987" s="295"/>
      <c r="W987" s="295"/>
      <c r="X987" s="295"/>
      <c r="Y987" s="295"/>
      <c r="Z987" s="295"/>
      <c r="AA987" s="295"/>
      <c r="AB987" s="295"/>
      <c r="AC987" s="295"/>
    </row>
    <row r="988">
      <c r="A988" s="295"/>
      <c r="B988" s="350"/>
      <c r="C988" s="350"/>
      <c r="D988" s="295"/>
      <c r="E988" s="295"/>
      <c r="F988" s="295"/>
      <c r="G988" s="295"/>
      <c r="H988" s="295"/>
      <c r="I988" s="351"/>
      <c r="J988" s="295"/>
      <c r="K988" s="295"/>
      <c r="L988" s="295"/>
      <c r="M988" s="295"/>
      <c r="N988" s="295"/>
      <c r="O988" s="295"/>
      <c r="P988" s="295"/>
      <c r="Q988" s="295"/>
      <c r="R988" s="295"/>
      <c r="S988" s="295"/>
      <c r="T988" s="295"/>
      <c r="U988" s="295"/>
      <c r="V988" s="295"/>
      <c r="W988" s="295"/>
      <c r="X988" s="295"/>
      <c r="Y988" s="295"/>
      <c r="Z988" s="295"/>
      <c r="AA988" s="295"/>
      <c r="AB988" s="295"/>
      <c r="AC988" s="295"/>
    </row>
    <row r="989">
      <c r="A989" s="295"/>
      <c r="B989" s="350"/>
      <c r="C989" s="350"/>
      <c r="D989" s="295"/>
      <c r="E989" s="295"/>
      <c r="F989" s="295"/>
      <c r="G989" s="295"/>
      <c r="H989" s="295"/>
      <c r="I989" s="351"/>
      <c r="J989" s="295"/>
      <c r="K989" s="295"/>
      <c r="L989" s="295"/>
      <c r="M989" s="295"/>
      <c r="N989" s="295"/>
      <c r="O989" s="295"/>
      <c r="P989" s="295"/>
      <c r="Q989" s="295"/>
      <c r="R989" s="295"/>
      <c r="S989" s="295"/>
      <c r="T989" s="295"/>
      <c r="U989" s="295"/>
      <c r="V989" s="295"/>
      <c r="W989" s="295"/>
      <c r="X989" s="295"/>
      <c r="Y989" s="295"/>
      <c r="Z989" s="295"/>
      <c r="AA989" s="295"/>
      <c r="AB989" s="295"/>
      <c r="AC989" s="295"/>
    </row>
    <row r="990">
      <c r="A990" s="295"/>
      <c r="B990" s="350"/>
      <c r="C990" s="350"/>
      <c r="D990" s="295"/>
      <c r="E990" s="295"/>
      <c r="F990" s="295"/>
      <c r="G990" s="295"/>
      <c r="H990" s="295"/>
      <c r="I990" s="351"/>
      <c r="J990" s="295"/>
      <c r="K990" s="295"/>
      <c r="L990" s="295"/>
      <c r="M990" s="295"/>
      <c r="N990" s="295"/>
      <c r="O990" s="295"/>
      <c r="P990" s="295"/>
      <c r="Q990" s="295"/>
      <c r="R990" s="295"/>
      <c r="S990" s="295"/>
      <c r="T990" s="295"/>
      <c r="U990" s="295"/>
      <c r="V990" s="295"/>
      <c r="W990" s="295"/>
      <c r="X990" s="295"/>
      <c r="Y990" s="295"/>
      <c r="Z990" s="295"/>
      <c r="AA990" s="295"/>
      <c r="AB990" s="295"/>
      <c r="AC990" s="295"/>
    </row>
    <row r="991">
      <c r="A991" s="295"/>
      <c r="B991" s="350"/>
      <c r="C991" s="350"/>
      <c r="D991" s="295"/>
      <c r="E991" s="295"/>
      <c r="F991" s="295"/>
      <c r="G991" s="295"/>
      <c r="H991" s="295"/>
      <c r="I991" s="351"/>
      <c r="J991" s="295"/>
      <c r="K991" s="295"/>
      <c r="L991" s="295"/>
      <c r="M991" s="295"/>
      <c r="N991" s="295"/>
      <c r="O991" s="295"/>
      <c r="P991" s="295"/>
      <c r="Q991" s="295"/>
      <c r="R991" s="295"/>
      <c r="S991" s="295"/>
      <c r="T991" s="295"/>
      <c r="U991" s="295"/>
      <c r="V991" s="295"/>
      <c r="W991" s="295"/>
      <c r="X991" s="295"/>
      <c r="Y991" s="295"/>
      <c r="Z991" s="295"/>
      <c r="AA991" s="295"/>
      <c r="AB991" s="295"/>
      <c r="AC991" s="295"/>
    </row>
    <row r="992">
      <c r="A992" s="295"/>
      <c r="B992" s="350"/>
      <c r="C992" s="350"/>
      <c r="D992" s="295"/>
      <c r="E992" s="295"/>
      <c r="F992" s="295"/>
      <c r="G992" s="295"/>
      <c r="H992" s="295"/>
      <c r="I992" s="351"/>
      <c r="J992" s="295"/>
      <c r="K992" s="295"/>
      <c r="L992" s="295"/>
      <c r="M992" s="295"/>
      <c r="N992" s="295"/>
      <c r="O992" s="295"/>
      <c r="P992" s="295"/>
      <c r="Q992" s="295"/>
      <c r="R992" s="295"/>
      <c r="S992" s="295"/>
      <c r="T992" s="295"/>
      <c r="U992" s="295"/>
      <c r="V992" s="295"/>
      <c r="W992" s="295"/>
      <c r="X992" s="295"/>
      <c r="Y992" s="295"/>
      <c r="Z992" s="295"/>
      <c r="AA992" s="295"/>
      <c r="AB992" s="295"/>
      <c r="AC992" s="295"/>
    </row>
    <row r="993">
      <c r="A993" s="295"/>
      <c r="B993" s="350"/>
      <c r="C993" s="350"/>
      <c r="D993" s="295"/>
      <c r="E993" s="295"/>
      <c r="F993" s="295"/>
      <c r="G993" s="295"/>
      <c r="H993" s="295"/>
      <c r="I993" s="351"/>
      <c r="J993" s="295"/>
      <c r="K993" s="295"/>
      <c r="L993" s="295"/>
      <c r="M993" s="295"/>
      <c r="N993" s="295"/>
      <c r="O993" s="295"/>
      <c r="P993" s="295"/>
      <c r="Q993" s="295"/>
      <c r="R993" s="295"/>
      <c r="S993" s="295"/>
      <c r="T993" s="295"/>
      <c r="U993" s="295"/>
      <c r="V993" s="295"/>
      <c r="W993" s="295"/>
      <c r="X993" s="295"/>
      <c r="Y993" s="295"/>
      <c r="Z993" s="295"/>
      <c r="AA993" s="295"/>
      <c r="AB993" s="295"/>
      <c r="AC993" s="295"/>
    </row>
    <row r="994">
      <c r="A994" s="295"/>
      <c r="B994" s="350"/>
      <c r="C994" s="350"/>
      <c r="D994" s="295"/>
      <c r="E994" s="295"/>
      <c r="F994" s="295"/>
      <c r="G994" s="295"/>
      <c r="H994" s="295"/>
      <c r="I994" s="351"/>
      <c r="J994" s="295"/>
      <c r="K994" s="295"/>
      <c r="L994" s="295"/>
      <c r="M994" s="295"/>
      <c r="N994" s="295"/>
      <c r="O994" s="295"/>
      <c r="P994" s="295"/>
      <c r="Q994" s="295"/>
      <c r="R994" s="295"/>
      <c r="S994" s="295"/>
      <c r="T994" s="295"/>
      <c r="U994" s="295"/>
      <c r="V994" s="295"/>
      <c r="W994" s="295"/>
      <c r="X994" s="295"/>
      <c r="Y994" s="295"/>
      <c r="Z994" s="295"/>
      <c r="AA994" s="295"/>
      <c r="AB994" s="295"/>
      <c r="AC994" s="295"/>
    </row>
    <row r="995">
      <c r="A995" s="295"/>
      <c r="B995" s="350"/>
      <c r="C995" s="350"/>
      <c r="D995" s="295"/>
      <c r="E995" s="295"/>
      <c r="F995" s="295"/>
      <c r="G995" s="295"/>
      <c r="H995" s="295"/>
      <c r="I995" s="351"/>
      <c r="J995" s="295"/>
      <c r="K995" s="295"/>
      <c r="L995" s="295"/>
      <c r="M995" s="295"/>
      <c r="N995" s="295"/>
      <c r="O995" s="295"/>
      <c r="P995" s="295"/>
      <c r="Q995" s="295"/>
      <c r="R995" s="295"/>
      <c r="S995" s="295"/>
      <c r="T995" s="295"/>
      <c r="U995" s="295"/>
      <c r="V995" s="295"/>
      <c r="W995" s="295"/>
      <c r="X995" s="295"/>
      <c r="Y995" s="295"/>
      <c r="Z995" s="295"/>
      <c r="AA995" s="295"/>
      <c r="AB995" s="295"/>
      <c r="AC995" s="295"/>
    </row>
    <row r="996">
      <c r="A996" s="295"/>
      <c r="B996" s="350"/>
      <c r="C996" s="350"/>
      <c r="D996" s="295"/>
      <c r="E996" s="295"/>
      <c r="F996" s="295"/>
      <c r="G996" s="295"/>
      <c r="H996" s="295"/>
      <c r="I996" s="351"/>
      <c r="J996" s="295"/>
      <c r="K996" s="295"/>
      <c r="L996" s="295"/>
      <c r="M996" s="295"/>
      <c r="N996" s="295"/>
      <c r="O996" s="295"/>
      <c r="P996" s="295"/>
      <c r="Q996" s="295"/>
      <c r="R996" s="295"/>
      <c r="S996" s="295"/>
      <c r="T996" s="295"/>
      <c r="U996" s="295"/>
      <c r="V996" s="295"/>
      <c r="W996" s="295"/>
      <c r="X996" s="295"/>
      <c r="Y996" s="295"/>
      <c r="Z996" s="295"/>
      <c r="AA996" s="295"/>
      <c r="AB996" s="295"/>
      <c r="AC996" s="295"/>
    </row>
    <row r="997">
      <c r="A997" s="295"/>
      <c r="B997" s="350"/>
      <c r="C997" s="350"/>
      <c r="D997" s="295"/>
      <c r="E997" s="295"/>
      <c r="F997" s="295"/>
      <c r="G997" s="295"/>
      <c r="H997" s="295"/>
      <c r="I997" s="351"/>
      <c r="J997" s="295"/>
      <c r="K997" s="295"/>
      <c r="L997" s="295"/>
      <c r="M997" s="295"/>
      <c r="N997" s="295"/>
      <c r="O997" s="295"/>
      <c r="P997" s="295"/>
      <c r="Q997" s="295"/>
      <c r="R997" s="295"/>
      <c r="S997" s="295"/>
      <c r="T997" s="295"/>
      <c r="U997" s="295"/>
      <c r="V997" s="295"/>
      <c r="W997" s="295"/>
      <c r="X997" s="295"/>
      <c r="Y997" s="295"/>
      <c r="Z997" s="295"/>
      <c r="AA997" s="295"/>
      <c r="AB997" s="295"/>
      <c r="AC997" s="295"/>
    </row>
    <row r="998">
      <c r="A998" s="295"/>
      <c r="B998" s="350"/>
      <c r="C998" s="350"/>
      <c r="D998" s="295"/>
      <c r="E998" s="295"/>
      <c r="F998" s="295"/>
      <c r="G998" s="295"/>
      <c r="H998" s="295"/>
      <c r="I998" s="351"/>
      <c r="J998" s="295"/>
      <c r="K998" s="295"/>
      <c r="L998" s="295"/>
      <c r="M998" s="295"/>
      <c r="N998" s="295"/>
      <c r="O998" s="295"/>
      <c r="P998" s="295"/>
      <c r="Q998" s="295"/>
      <c r="R998" s="295"/>
      <c r="S998" s="295"/>
      <c r="T998" s="295"/>
      <c r="U998" s="295"/>
      <c r="V998" s="295"/>
      <c r="W998" s="295"/>
      <c r="X998" s="295"/>
      <c r="Y998" s="295"/>
      <c r="Z998" s="295"/>
      <c r="AA998" s="295"/>
      <c r="AB998" s="295"/>
      <c r="AC998" s="295"/>
    </row>
    <row r="999">
      <c r="A999" s="295"/>
      <c r="B999" s="350"/>
      <c r="C999" s="350"/>
      <c r="D999" s="295"/>
      <c r="E999" s="295"/>
      <c r="F999" s="295"/>
      <c r="G999" s="295"/>
      <c r="H999" s="295"/>
      <c r="I999" s="351"/>
      <c r="J999" s="295"/>
      <c r="K999" s="295"/>
      <c r="L999" s="295"/>
      <c r="M999" s="295"/>
      <c r="N999" s="295"/>
      <c r="O999" s="295"/>
      <c r="P999" s="295"/>
      <c r="Q999" s="295"/>
      <c r="R999" s="295"/>
      <c r="S999" s="295"/>
      <c r="T999" s="295"/>
      <c r="U999" s="295"/>
      <c r="V999" s="295"/>
      <c r="W999" s="295"/>
      <c r="X999" s="295"/>
      <c r="Y999" s="295"/>
      <c r="Z999" s="295"/>
      <c r="AA999" s="295"/>
      <c r="AB999" s="295"/>
      <c r="AC999" s="295"/>
    </row>
    <row r="1000">
      <c r="A1000" s="295"/>
      <c r="B1000" s="350"/>
      <c r="C1000" s="350"/>
      <c r="D1000" s="295"/>
      <c r="E1000" s="295"/>
      <c r="F1000" s="295"/>
      <c r="G1000" s="295"/>
      <c r="H1000" s="295"/>
      <c r="I1000" s="351"/>
      <c r="J1000" s="295"/>
      <c r="K1000" s="295"/>
      <c r="L1000" s="295"/>
      <c r="M1000" s="295"/>
      <c r="N1000" s="295"/>
      <c r="O1000" s="295"/>
      <c r="P1000" s="295"/>
      <c r="Q1000" s="295"/>
      <c r="R1000" s="295"/>
      <c r="S1000" s="295"/>
      <c r="T1000" s="295"/>
      <c r="U1000" s="295"/>
      <c r="V1000" s="295"/>
      <c r="W1000" s="295"/>
      <c r="X1000" s="295"/>
      <c r="Y1000" s="295"/>
      <c r="Z1000" s="295"/>
      <c r="AA1000" s="295"/>
      <c r="AB1000" s="295"/>
      <c r="AC1000" s="295"/>
    </row>
  </sheetData>
  <dataValidations>
    <dataValidation type="list" allowBlank="1" showDropDown="1" showErrorMessage="1" sqref="E2:E84">
      <formula1>"SEM CL,CLOD,CLOE"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6.63"/>
    <col customWidth="1" min="5" max="5" width="15.0"/>
    <col customWidth="1" min="6" max="6" width="8.5"/>
    <col customWidth="1" min="7" max="7" width="15.0"/>
  </cols>
  <sheetData>
    <row r="1">
      <c r="A1" s="51" t="s">
        <v>225</v>
      </c>
      <c r="B1" s="51" t="s">
        <v>230</v>
      </c>
      <c r="C1" s="50" t="s">
        <v>476</v>
      </c>
      <c r="D1" s="50" t="s">
        <v>702</v>
      </c>
      <c r="E1" s="51" t="s">
        <v>538</v>
      </c>
      <c r="F1" s="51" t="s">
        <v>1098</v>
      </c>
      <c r="G1" s="51" t="s">
        <v>1099</v>
      </c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</row>
    <row r="2">
      <c r="A2" s="66" t="s">
        <v>238</v>
      </c>
      <c r="B2" s="59" t="s">
        <v>347</v>
      </c>
      <c r="C2" s="77" t="s">
        <v>56</v>
      </c>
      <c r="D2" s="77" t="s">
        <v>224</v>
      </c>
      <c r="E2" s="352">
        <v>46058.0</v>
      </c>
      <c r="F2" s="61" t="s">
        <v>1100</v>
      </c>
      <c r="G2" s="352">
        <v>46344.0</v>
      </c>
    </row>
    <row r="3">
      <c r="A3" s="66" t="s">
        <v>240</v>
      </c>
      <c r="B3" s="77" t="s">
        <v>347</v>
      </c>
      <c r="C3" s="77" t="s">
        <v>62</v>
      </c>
      <c r="D3" s="77" t="s">
        <v>674</v>
      </c>
      <c r="E3" s="352">
        <v>46058.0</v>
      </c>
      <c r="F3" s="69" t="s">
        <v>994</v>
      </c>
      <c r="G3" s="61" t="s">
        <v>710</v>
      </c>
    </row>
    <row r="4">
      <c r="A4" s="66" t="s">
        <v>241</v>
      </c>
      <c r="B4" s="77" t="s">
        <v>347</v>
      </c>
      <c r="C4" s="77" t="s">
        <v>1101</v>
      </c>
      <c r="D4" s="77"/>
      <c r="E4" s="353"/>
      <c r="F4" s="69" t="s">
        <v>710</v>
      </c>
      <c r="G4" s="61" t="s">
        <v>710</v>
      </c>
    </row>
    <row r="5">
      <c r="A5" s="66" t="s">
        <v>243</v>
      </c>
      <c r="B5" s="59" t="s">
        <v>347</v>
      </c>
      <c r="C5" s="77" t="s">
        <v>1101</v>
      </c>
      <c r="D5" s="77"/>
      <c r="E5" s="353"/>
      <c r="F5" s="61" t="s">
        <v>710</v>
      </c>
      <c r="G5" s="61" t="s">
        <v>710</v>
      </c>
    </row>
    <row r="6">
      <c r="A6" s="66" t="s">
        <v>245</v>
      </c>
      <c r="B6" s="59" t="s">
        <v>347</v>
      </c>
      <c r="C6" s="77" t="s">
        <v>104</v>
      </c>
      <c r="D6" s="77" t="s">
        <v>224</v>
      </c>
      <c r="E6" s="352">
        <v>46058.0</v>
      </c>
      <c r="F6" s="61" t="s">
        <v>994</v>
      </c>
      <c r="G6" s="61" t="s">
        <v>710</v>
      </c>
    </row>
    <row r="7">
      <c r="A7" s="66" t="s">
        <v>246</v>
      </c>
      <c r="B7" s="77" t="s">
        <v>347</v>
      </c>
      <c r="C7" s="77" t="s">
        <v>62</v>
      </c>
      <c r="D7" s="77" t="s">
        <v>674</v>
      </c>
      <c r="E7" s="352">
        <v>46058.0</v>
      </c>
      <c r="F7" s="69" t="s">
        <v>1100</v>
      </c>
      <c r="G7" s="352">
        <v>46344.0</v>
      </c>
    </row>
    <row r="8">
      <c r="A8" s="66" t="s">
        <v>247</v>
      </c>
      <c r="B8" s="59" t="s">
        <v>347</v>
      </c>
      <c r="C8" s="77" t="s">
        <v>62</v>
      </c>
      <c r="D8" s="77" t="s">
        <v>674</v>
      </c>
      <c r="E8" s="352">
        <v>46058.0</v>
      </c>
      <c r="F8" s="61" t="s">
        <v>994</v>
      </c>
      <c r="G8" s="61" t="s">
        <v>710</v>
      </c>
    </row>
    <row r="9">
      <c r="A9" s="66" t="s">
        <v>248</v>
      </c>
      <c r="B9" s="59" t="s">
        <v>347</v>
      </c>
      <c r="C9" s="59" t="s">
        <v>189</v>
      </c>
      <c r="D9" s="77" t="s">
        <v>674</v>
      </c>
      <c r="E9" s="352">
        <v>46058.0</v>
      </c>
      <c r="F9" s="61" t="s">
        <v>994</v>
      </c>
      <c r="G9" s="61" t="s">
        <v>710</v>
      </c>
    </row>
    <row r="10">
      <c r="A10" s="66" t="s">
        <v>249</v>
      </c>
      <c r="B10" s="59" t="s">
        <v>347</v>
      </c>
      <c r="C10" s="77" t="s">
        <v>56</v>
      </c>
      <c r="D10" s="77" t="s">
        <v>224</v>
      </c>
      <c r="E10" s="352">
        <v>46058.0</v>
      </c>
      <c r="F10" s="61" t="s">
        <v>994</v>
      </c>
      <c r="G10" s="61" t="s">
        <v>710</v>
      </c>
    </row>
    <row r="11">
      <c r="A11" s="66" t="s">
        <v>251</v>
      </c>
      <c r="B11" s="59" t="s">
        <v>347</v>
      </c>
      <c r="C11" s="59" t="s">
        <v>189</v>
      </c>
      <c r="D11" s="77" t="s">
        <v>674</v>
      </c>
      <c r="E11" s="352">
        <v>46058.0</v>
      </c>
      <c r="F11" s="61" t="s">
        <v>994</v>
      </c>
      <c r="G11" s="61" t="s">
        <v>710</v>
      </c>
    </row>
    <row r="12">
      <c r="A12" s="66" t="s">
        <v>252</v>
      </c>
      <c r="B12" s="59" t="s">
        <v>347</v>
      </c>
      <c r="C12" s="59" t="s">
        <v>189</v>
      </c>
      <c r="D12" s="77" t="s">
        <v>674</v>
      </c>
      <c r="E12" s="352">
        <v>46058.0</v>
      </c>
      <c r="F12" s="61" t="s">
        <v>1100</v>
      </c>
      <c r="G12" s="352">
        <v>46344.0</v>
      </c>
    </row>
    <row r="13">
      <c r="A13" s="66" t="s">
        <v>253</v>
      </c>
      <c r="B13" s="59" t="s">
        <v>347</v>
      </c>
      <c r="C13" s="77" t="s">
        <v>1101</v>
      </c>
      <c r="D13" s="77"/>
      <c r="E13" s="353"/>
      <c r="F13" s="69" t="s">
        <v>710</v>
      </c>
      <c r="G13" s="61" t="s">
        <v>710</v>
      </c>
    </row>
    <row r="14">
      <c r="A14" s="66" t="s">
        <v>254</v>
      </c>
      <c r="B14" s="59" t="s">
        <v>347</v>
      </c>
      <c r="C14" s="77" t="s">
        <v>47</v>
      </c>
      <c r="D14" s="77" t="s">
        <v>224</v>
      </c>
      <c r="E14" s="352">
        <v>46058.0</v>
      </c>
      <c r="F14" s="61" t="s">
        <v>1100</v>
      </c>
      <c r="G14" s="352">
        <v>46344.0</v>
      </c>
    </row>
    <row r="15">
      <c r="A15" s="66" t="s">
        <v>257</v>
      </c>
      <c r="B15" s="59" t="s">
        <v>347</v>
      </c>
      <c r="C15" s="59" t="s">
        <v>189</v>
      </c>
      <c r="D15" s="77" t="s">
        <v>674</v>
      </c>
      <c r="E15" s="352">
        <v>46058.0</v>
      </c>
      <c r="F15" s="61" t="s">
        <v>1100</v>
      </c>
      <c r="G15" s="352">
        <v>46344.0</v>
      </c>
    </row>
    <row r="16">
      <c r="A16" s="66" t="s">
        <v>259</v>
      </c>
      <c r="B16" s="59" t="s">
        <v>347</v>
      </c>
      <c r="C16" s="59" t="s">
        <v>189</v>
      </c>
      <c r="D16" s="77" t="s">
        <v>674</v>
      </c>
      <c r="E16" s="352">
        <v>46058.0</v>
      </c>
      <c r="F16" s="61" t="s">
        <v>1100</v>
      </c>
      <c r="G16" s="352">
        <v>46344.0</v>
      </c>
    </row>
    <row r="17">
      <c r="A17" s="66" t="s">
        <v>261</v>
      </c>
      <c r="B17" s="59" t="s">
        <v>347</v>
      </c>
      <c r="C17" s="59" t="s">
        <v>189</v>
      </c>
      <c r="D17" s="77" t="s">
        <v>674</v>
      </c>
      <c r="E17" s="352">
        <v>46058.0</v>
      </c>
      <c r="F17" s="61" t="s">
        <v>994</v>
      </c>
      <c r="G17" s="61" t="s">
        <v>710</v>
      </c>
    </row>
    <row r="18">
      <c r="A18" s="66" t="s">
        <v>262</v>
      </c>
      <c r="B18" s="59" t="s">
        <v>347</v>
      </c>
      <c r="C18" s="59" t="s">
        <v>189</v>
      </c>
      <c r="D18" s="77" t="s">
        <v>674</v>
      </c>
      <c r="E18" s="352">
        <v>46058.0</v>
      </c>
      <c r="F18" s="61" t="s">
        <v>1100</v>
      </c>
      <c r="G18" s="352">
        <v>46344.0</v>
      </c>
    </row>
    <row r="19">
      <c r="A19" s="66" t="s">
        <v>265</v>
      </c>
      <c r="B19" s="59" t="s">
        <v>347</v>
      </c>
      <c r="C19" s="77" t="s">
        <v>104</v>
      </c>
      <c r="D19" s="77" t="s">
        <v>224</v>
      </c>
      <c r="E19" s="352">
        <v>46058.0</v>
      </c>
      <c r="F19" s="61" t="s">
        <v>994</v>
      </c>
      <c r="G19" s="61" t="s">
        <v>710</v>
      </c>
    </row>
    <row r="20">
      <c r="A20" s="66" t="s">
        <v>268</v>
      </c>
      <c r="B20" s="59" t="s">
        <v>347</v>
      </c>
      <c r="C20" s="77" t="s">
        <v>1101</v>
      </c>
      <c r="D20" s="77"/>
      <c r="E20" s="353"/>
      <c r="F20" s="61" t="s">
        <v>710</v>
      </c>
      <c r="G20" s="61" t="s">
        <v>710</v>
      </c>
    </row>
    <row r="21">
      <c r="A21" s="66" t="s">
        <v>269</v>
      </c>
      <c r="B21" s="59" t="s">
        <v>347</v>
      </c>
      <c r="C21" s="77" t="s">
        <v>1101</v>
      </c>
      <c r="D21" s="77"/>
      <c r="E21" s="353"/>
      <c r="F21" s="69" t="s">
        <v>710</v>
      </c>
      <c r="G21" s="61" t="s">
        <v>710</v>
      </c>
    </row>
    <row r="22">
      <c r="A22" s="66" t="s">
        <v>270</v>
      </c>
      <c r="B22" s="59" t="s">
        <v>347</v>
      </c>
      <c r="C22" s="77" t="s">
        <v>56</v>
      </c>
      <c r="D22" s="77" t="s">
        <v>224</v>
      </c>
      <c r="E22" s="352">
        <v>46058.0</v>
      </c>
      <c r="F22" s="61" t="s">
        <v>1100</v>
      </c>
      <c r="G22" s="352">
        <v>46344.0</v>
      </c>
    </row>
    <row r="23">
      <c r="A23" s="66" t="s">
        <v>271</v>
      </c>
      <c r="B23" s="59" t="s">
        <v>347</v>
      </c>
      <c r="C23" s="77" t="s">
        <v>104</v>
      </c>
      <c r="D23" s="77" t="s">
        <v>224</v>
      </c>
      <c r="E23" s="352">
        <v>46058.0</v>
      </c>
      <c r="F23" s="61" t="s">
        <v>994</v>
      </c>
      <c r="G23" s="61" t="s">
        <v>710</v>
      </c>
    </row>
    <row r="24">
      <c r="A24" s="66" t="s">
        <v>272</v>
      </c>
      <c r="B24" s="59" t="s">
        <v>347</v>
      </c>
      <c r="C24" s="77" t="s">
        <v>104</v>
      </c>
      <c r="D24" s="77" t="s">
        <v>224</v>
      </c>
      <c r="E24" s="352">
        <v>46058.0</v>
      </c>
      <c r="F24" s="61" t="s">
        <v>1100</v>
      </c>
      <c r="G24" s="352">
        <v>46344.0</v>
      </c>
    </row>
    <row r="25">
      <c r="A25" s="66" t="s">
        <v>273</v>
      </c>
      <c r="B25" s="59" t="s">
        <v>347</v>
      </c>
      <c r="C25" s="77" t="s">
        <v>104</v>
      </c>
      <c r="D25" s="77" t="s">
        <v>224</v>
      </c>
      <c r="E25" s="352">
        <v>46058.0</v>
      </c>
      <c r="F25" s="61" t="s">
        <v>994</v>
      </c>
      <c r="G25" s="61" t="s">
        <v>710</v>
      </c>
    </row>
    <row r="26">
      <c r="A26" s="66" t="s">
        <v>276</v>
      </c>
      <c r="B26" s="59" t="s">
        <v>347</v>
      </c>
      <c r="C26" s="59" t="s">
        <v>189</v>
      </c>
      <c r="D26" s="77" t="s">
        <v>674</v>
      </c>
      <c r="E26" s="352">
        <v>46058.0</v>
      </c>
      <c r="F26" s="61" t="s">
        <v>994</v>
      </c>
      <c r="G26" s="61" t="s">
        <v>710</v>
      </c>
    </row>
    <row r="27">
      <c r="A27" s="66" t="s">
        <v>299</v>
      </c>
      <c r="B27" s="59" t="s">
        <v>347</v>
      </c>
      <c r="C27" s="59" t="s">
        <v>189</v>
      </c>
      <c r="D27" s="77" t="s">
        <v>674</v>
      </c>
      <c r="E27" s="352">
        <v>46058.0</v>
      </c>
      <c r="F27" s="61" t="s">
        <v>994</v>
      </c>
      <c r="G27" s="61" t="s">
        <v>710</v>
      </c>
    </row>
    <row r="28">
      <c r="A28" s="66" t="s">
        <v>301</v>
      </c>
      <c r="B28" s="59" t="s">
        <v>347</v>
      </c>
      <c r="C28" s="59" t="s">
        <v>189</v>
      </c>
      <c r="D28" s="77" t="s">
        <v>674</v>
      </c>
      <c r="E28" s="352">
        <v>46058.0</v>
      </c>
      <c r="F28" s="61" t="s">
        <v>994</v>
      </c>
      <c r="G28" s="61" t="s">
        <v>710</v>
      </c>
    </row>
    <row r="29">
      <c r="A29" s="66" t="s">
        <v>304</v>
      </c>
      <c r="B29" s="59" t="s">
        <v>347</v>
      </c>
      <c r="C29" s="77" t="s">
        <v>104</v>
      </c>
      <c r="D29" s="77" t="s">
        <v>224</v>
      </c>
      <c r="E29" s="352">
        <v>46058.0</v>
      </c>
      <c r="F29" s="61" t="s">
        <v>994</v>
      </c>
      <c r="G29" s="61" t="s">
        <v>710</v>
      </c>
    </row>
    <row r="30">
      <c r="A30" s="66" t="s">
        <v>305</v>
      </c>
      <c r="B30" s="59" t="s">
        <v>347</v>
      </c>
      <c r="C30" s="77" t="s">
        <v>62</v>
      </c>
      <c r="D30" s="77" t="s">
        <v>674</v>
      </c>
      <c r="E30" s="352">
        <v>46058.0</v>
      </c>
      <c r="F30" s="61" t="s">
        <v>1100</v>
      </c>
      <c r="G30" s="352">
        <v>46344.0</v>
      </c>
    </row>
    <row r="31">
      <c r="A31" s="66" t="s">
        <v>315</v>
      </c>
      <c r="B31" s="59" t="s">
        <v>347</v>
      </c>
      <c r="C31" s="59" t="s">
        <v>189</v>
      </c>
      <c r="D31" s="77" t="s">
        <v>674</v>
      </c>
      <c r="E31" s="352">
        <v>46058.0</v>
      </c>
      <c r="F31" s="61" t="s">
        <v>994</v>
      </c>
      <c r="G31" s="61" t="s">
        <v>710</v>
      </c>
    </row>
    <row r="32">
      <c r="A32" s="66" t="s">
        <v>325</v>
      </c>
      <c r="B32" s="59" t="s">
        <v>347</v>
      </c>
      <c r="C32" s="59" t="s">
        <v>189</v>
      </c>
      <c r="D32" s="77" t="s">
        <v>674</v>
      </c>
      <c r="E32" s="352">
        <v>46058.0</v>
      </c>
      <c r="F32" s="61" t="s">
        <v>1100</v>
      </c>
      <c r="G32" s="352">
        <v>46344.0</v>
      </c>
    </row>
    <row r="33">
      <c r="A33" s="66" t="s">
        <v>327</v>
      </c>
      <c r="B33" s="59" t="s">
        <v>347</v>
      </c>
      <c r="C33" s="77" t="s">
        <v>1101</v>
      </c>
      <c r="D33" s="59"/>
      <c r="E33" s="353"/>
      <c r="F33" s="61" t="s">
        <v>710</v>
      </c>
      <c r="G33" s="61" t="s">
        <v>710</v>
      </c>
    </row>
    <row r="34">
      <c r="A34" s="66" t="s">
        <v>336</v>
      </c>
      <c r="B34" s="59" t="s">
        <v>347</v>
      </c>
      <c r="C34" s="59" t="s">
        <v>189</v>
      </c>
      <c r="D34" s="77" t="s">
        <v>674</v>
      </c>
      <c r="E34" s="352">
        <v>46058.0</v>
      </c>
      <c r="F34" s="61" t="s">
        <v>1100</v>
      </c>
      <c r="G34" s="352">
        <v>46344.0</v>
      </c>
    </row>
    <row r="35">
      <c r="A35" s="66" t="s">
        <v>338</v>
      </c>
      <c r="B35" s="59" t="s">
        <v>347</v>
      </c>
      <c r="C35" s="59" t="s">
        <v>189</v>
      </c>
      <c r="D35" s="77" t="s">
        <v>674</v>
      </c>
      <c r="E35" s="352">
        <v>46058.0</v>
      </c>
      <c r="F35" s="61" t="s">
        <v>1100</v>
      </c>
      <c r="G35" s="352">
        <v>46344.0</v>
      </c>
    </row>
    <row r="36">
      <c r="A36" s="66" t="s">
        <v>340</v>
      </c>
      <c r="B36" s="59" t="s">
        <v>347</v>
      </c>
      <c r="C36" s="59" t="s">
        <v>189</v>
      </c>
      <c r="D36" s="77" t="s">
        <v>674</v>
      </c>
      <c r="E36" s="352">
        <v>46058.0</v>
      </c>
      <c r="F36" s="61" t="s">
        <v>994</v>
      </c>
      <c r="G36" s="61" t="s">
        <v>710</v>
      </c>
    </row>
    <row r="37">
      <c r="A37" s="66" t="s">
        <v>345</v>
      </c>
      <c r="B37" s="59" t="s">
        <v>347</v>
      </c>
      <c r="C37" s="77" t="s">
        <v>1101</v>
      </c>
      <c r="D37" s="59"/>
      <c r="E37" s="353"/>
      <c r="F37" s="69" t="s">
        <v>710</v>
      </c>
      <c r="G37" s="61" t="s">
        <v>710</v>
      </c>
    </row>
    <row r="38">
      <c r="A38" s="66" t="s">
        <v>348</v>
      </c>
      <c r="B38" s="59" t="s">
        <v>347</v>
      </c>
      <c r="C38" s="77" t="s">
        <v>1101</v>
      </c>
      <c r="D38" s="59"/>
      <c r="E38" s="353"/>
      <c r="F38" s="61" t="s">
        <v>710</v>
      </c>
      <c r="G38" s="61" t="s">
        <v>710</v>
      </c>
    </row>
    <row r="39">
      <c r="A39" s="59" t="s">
        <v>353</v>
      </c>
      <c r="B39" s="59" t="s">
        <v>347</v>
      </c>
      <c r="C39" s="59" t="s">
        <v>189</v>
      </c>
      <c r="D39" s="77" t="s">
        <v>674</v>
      </c>
      <c r="E39" s="352">
        <v>46058.0</v>
      </c>
      <c r="F39" s="61" t="s">
        <v>1100</v>
      </c>
      <c r="G39" s="352">
        <v>46344.0</v>
      </c>
    </row>
    <row r="40">
      <c r="A40" s="66" t="s">
        <v>355</v>
      </c>
      <c r="B40" s="59" t="s">
        <v>347</v>
      </c>
      <c r="C40" s="77" t="s">
        <v>1101</v>
      </c>
      <c r="D40" s="59"/>
      <c r="E40" s="353"/>
      <c r="F40" s="69" t="s">
        <v>710</v>
      </c>
      <c r="G40" s="61" t="s">
        <v>710</v>
      </c>
    </row>
    <row r="41">
      <c r="A41" s="66" t="s">
        <v>366</v>
      </c>
      <c r="B41" s="59" t="s">
        <v>347</v>
      </c>
      <c r="C41" s="77" t="s">
        <v>1101</v>
      </c>
      <c r="D41" s="59"/>
      <c r="E41" s="353"/>
      <c r="F41" s="61" t="s">
        <v>710</v>
      </c>
      <c r="G41" s="61" t="s">
        <v>710</v>
      </c>
    </row>
    <row r="42">
      <c r="A42" s="66" t="s">
        <v>373</v>
      </c>
      <c r="B42" s="59" t="s">
        <v>347</v>
      </c>
      <c r="C42" s="59" t="s">
        <v>189</v>
      </c>
      <c r="D42" s="77" t="s">
        <v>674</v>
      </c>
      <c r="E42" s="352">
        <v>46058.0</v>
      </c>
      <c r="F42" s="61" t="s">
        <v>994</v>
      </c>
      <c r="G42" s="61" t="s">
        <v>710</v>
      </c>
    </row>
    <row r="43">
      <c r="A43" s="66" t="s">
        <v>375</v>
      </c>
      <c r="B43" s="59" t="s">
        <v>347</v>
      </c>
      <c r="C43" s="59" t="s">
        <v>189</v>
      </c>
      <c r="D43" s="77" t="s">
        <v>674</v>
      </c>
      <c r="E43" s="352">
        <v>46058.0</v>
      </c>
      <c r="F43" s="61" t="s">
        <v>994</v>
      </c>
      <c r="G43" s="61" t="s">
        <v>710</v>
      </c>
    </row>
    <row r="44">
      <c r="A44" s="66" t="s">
        <v>382</v>
      </c>
      <c r="B44" s="59" t="s">
        <v>347</v>
      </c>
      <c r="C44" s="59" t="s">
        <v>189</v>
      </c>
      <c r="D44" s="77" t="s">
        <v>674</v>
      </c>
      <c r="E44" s="352">
        <v>46058.0</v>
      </c>
      <c r="F44" s="61" t="s">
        <v>1100</v>
      </c>
      <c r="G44" s="352">
        <v>46344.0</v>
      </c>
    </row>
    <row r="45">
      <c r="A45" s="66" t="s">
        <v>389</v>
      </c>
      <c r="B45" s="59" t="s">
        <v>347</v>
      </c>
      <c r="C45" s="59" t="s">
        <v>189</v>
      </c>
      <c r="D45" s="77" t="s">
        <v>674</v>
      </c>
      <c r="E45" s="352">
        <v>46058.0</v>
      </c>
      <c r="F45" s="61" t="s">
        <v>994</v>
      </c>
      <c r="G45" s="61" t="s">
        <v>710</v>
      </c>
    </row>
    <row r="46">
      <c r="A46" s="66" t="s">
        <v>395</v>
      </c>
      <c r="B46" s="59" t="s">
        <v>347</v>
      </c>
      <c r="C46" s="59" t="s">
        <v>189</v>
      </c>
      <c r="D46" s="77" t="s">
        <v>674</v>
      </c>
      <c r="E46" s="352">
        <v>46058.0</v>
      </c>
      <c r="F46" s="61" t="s">
        <v>994</v>
      </c>
      <c r="G46" s="61" t="s">
        <v>710</v>
      </c>
    </row>
    <row r="47">
      <c r="A47" s="66" t="s">
        <v>397</v>
      </c>
      <c r="B47" s="59" t="s">
        <v>347</v>
      </c>
      <c r="C47" s="77" t="s">
        <v>1101</v>
      </c>
      <c r="D47" s="59"/>
      <c r="E47" s="353"/>
      <c r="F47" s="69" t="s">
        <v>710</v>
      </c>
      <c r="G47" s="61" t="s">
        <v>710</v>
      </c>
    </row>
    <row r="48">
      <c r="A48" s="66" t="s">
        <v>403</v>
      </c>
      <c r="B48" s="59" t="s">
        <v>347</v>
      </c>
      <c r="C48" s="59" t="s">
        <v>189</v>
      </c>
      <c r="D48" s="77" t="s">
        <v>674</v>
      </c>
      <c r="E48" s="352">
        <v>46058.0</v>
      </c>
      <c r="F48" s="61" t="s">
        <v>994</v>
      </c>
      <c r="G48" s="61" t="s">
        <v>710</v>
      </c>
    </row>
    <row r="49">
      <c r="A49" s="66" t="s">
        <v>408</v>
      </c>
      <c r="B49" s="59" t="s">
        <v>347</v>
      </c>
      <c r="C49" s="77" t="s">
        <v>1101</v>
      </c>
      <c r="D49" s="59"/>
      <c r="E49" s="353"/>
      <c r="F49" s="61" t="s">
        <v>710</v>
      </c>
      <c r="G49" s="61" t="s">
        <v>710</v>
      </c>
    </row>
    <row r="50">
      <c r="A50" s="66" t="s">
        <v>416</v>
      </c>
      <c r="B50" s="59" t="s">
        <v>347</v>
      </c>
      <c r="C50" s="77" t="s">
        <v>104</v>
      </c>
      <c r="D50" s="77" t="s">
        <v>224</v>
      </c>
      <c r="E50" s="352">
        <v>46058.0</v>
      </c>
      <c r="F50" s="61" t="s">
        <v>1100</v>
      </c>
      <c r="G50" s="352">
        <v>46344.0</v>
      </c>
    </row>
    <row r="51">
      <c r="A51" s="66" t="s">
        <v>417</v>
      </c>
      <c r="B51" s="59" t="s">
        <v>347</v>
      </c>
      <c r="C51" s="77" t="s">
        <v>104</v>
      </c>
      <c r="D51" s="77" t="s">
        <v>224</v>
      </c>
      <c r="E51" s="352">
        <v>46058.0</v>
      </c>
      <c r="F51" s="61" t="s">
        <v>1100</v>
      </c>
      <c r="G51" s="352">
        <v>46344.0</v>
      </c>
    </row>
    <row r="52">
      <c r="A52" s="66" t="s">
        <v>419</v>
      </c>
      <c r="B52" s="59" t="s">
        <v>347</v>
      </c>
      <c r="C52" s="77" t="s">
        <v>104</v>
      </c>
      <c r="D52" s="77" t="s">
        <v>224</v>
      </c>
      <c r="E52" s="352">
        <v>46058.0</v>
      </c>
      <c r="F52" s="61" t="s">
        <v>994</v>
      </c>
      <c r="G52" s="61" t="s">
        <v>710</v>
      </c>
    </row>
    <row r="53">
      <c r="A53" s="66" t="s">
        <v>421</v>
      </c>
      <c r="B53" s="59" t="s">
        <v>347</v>
      </c>
      <c r="C53" s="59" t="s">
        <v>189</v>
      </c>
      <c r="D53" s="77" t="s">
        <v>674</v>
      </c>
      <c r="E53" s="352">
        <v>46058.0</v>
      </c>
      <c r="F53" s="61" t="s">
        <v>1100</v>
      </c>
      <c r="G53" s="352">
        <v>46344.0</v>
      </c>
    </row>
    <row r="54">
      <c r="A54" s="66" t="s">
        <v>427</v>
      </c>
      <c r="B54" s="59" t="s">
        <v>347</v>
      </c>
      <c r="C54" s="77" t="s">
        <v>1101</v>
      </c>
      <c r="D54" s="59"/>
      <c r="E54" s="353"/>
      <c r="F54" s="69" t="s">
        <v>710</v>
      </c>
      <c r="G54" s="61" t="s">
        <v>710</v>
      </c>
    </row>
    <row r="55">
      <c r="A55" s="66" t="s">
        <v>432</v>
      </c>
      <c r="B55" s="59" t="s">
        <v>347</v>
      </c>
      <c r="C55" s="59" t="s">
        <v>189</v>
      </c>
      <c r="D55" s="77" t="s">
        <v>674</v>
      </c>
      <c r="E55" s="352">
        <v>46058.0</v>
      </c>
      <c r="F55" s="61" t="s">
        <v>994</v>
      </c>
      <c r="G55" s="61" t="s">
        <v>710</v>
      </c>
    </row>
    <row r="56">
      <c r="A56" s="59" t="s">
        <v>438</v>
      </c>
      <c r="B56" s="59" t="s">
        <v>347</v>
      </c>
      <c r="C56" s="77" t="s">
        <v>1101</v>
      </c>
      <c r="D56" s="59"/>
      <c r="E56" s="353"/>
      <c r="F56" s="61" t="s">
        <v>710</v>
      </c>
      <c r="G56" s="61" t="s">
        <v>710</v>
      </c>
    </row>
    <row r="57">
      <c r="A57" s="66" t="s">
        <v>440</v>
      </c>
      <c r="B57" s="59" t="s">
        <v>347</v>
      </c>
      <c r="C57" s="77" t="s">
        <v>62</v>
      </c>
      <c r="D57" s="77" t="s">
        <v>674</v>
      </c>
      <c r="E57" s="352">
        <v>46058.0</v>
      </c>
      <c r="F57" s="61" t="s">
        <v>994</v>
      </c>
      <c r="G57" s="61" t="s">
        <v>710</v>
      </c>
    </row>
    <row r="58">
      <c r="A58" s="66" t="s">
        <v>442</v>
      </c>
      <c r="B58" s="59" t="s">
        <v>347</v>
      </c>
      <c r="C58" s="77" t="s">
        <v>1101</v>
      </c>
      <c r="D58" s="59"/>
      <c r="E58" s="353"/>
      <c r="F58" s="69" t="s">
        <v>710</v>
      </c>
      <c r="G58" s="61" t="s">
        <v>710</v>
      </c>
    </row>
    <row r="59">
      <c r="A59" s="66" t="s">
        <v>446</v>
      </c>
      <c r="B59" s="59" t="s">
        <v>347</v>
      </c>
      <c r="C59" s="59" t="s">
        <v>189</v>
      </c>
      <c r="D59" s="77" t="s">
        <v>674</v>
      </c>
      <c r="E59" s="352">
        <v>46058.0</v>
      </c>
      <c r="F59" s="61" t="s">
        <v>994</v>
      </c>
      <c r="G59" s="61" t="s">
        <v>710</v>
      </c>
    </row>
    <row r="60">
      <c r="A60" s="66" t="s">
        <v>448</v>
      </c>
      <c r="B60" s="59" t="s">
        <v>347</v>
      </c>
      <c r="C60" s="59" t="s">
        <v>189</v>
      </c>
      <c r="D60" s="77" t="s">
        <v>674</v>
      </c>
      <c r="E60" s="352">
        <v>46058.0</v>
      </c>
      <c r="F60" s="61" t="s">
        <v>1100</v>
      </c>
      <c r="G60" s="352">
        <v>46344.0</v>
      </c>
    </row>
    <row r="61">
      <c r="A61" s="66" t="s">
        <v>454</v>
      </c>
      <c r="B61" s="59" t="s">
        <v>347</v>
      </c>
      <c r="C61" s="59" t="s">
        <v>189</v>
      </c>
      <c r="D61" s="77" t="s">
        <v>674</v>
      </c>
      <c r="E61" s="352">
        <v>46058.0</v>
      </c>
      <c r="F61" s="61" t="s">
        <v>994</v>
      </c>
      <c r="G61" s="61" t="s">
        <v>710</v>
      </c>
    </row>
    <row r="62">
      <c r="A62" s="66" t="s">
        <v>458</v>
      </c>
      <c r="B62" s="59" t="s">
        <v>347</v>
      </c>
      <c r="C62" s="59" t="s">
        <v>189</v>
      </c>
      <c r="D62" s="77" t="s">
        <v>674</v>
      </c>
      <c r="E62" s="352">
        <v>46058.0</v>
      </c>
      <c r="F62" s="61" t="s">
        <v>994</v>
      </c>
      <c r="G62" s="61" t="s">
        <v>710</v>
      </c>
    </row>
    <row r="63">
      <c r="A63" s="81" t="s">
        <v>460</v>
      </c>
      <c r="B63" s="88" t="s">
        <v>347</v>
      </c>
      <c r="C63" s="77" t="s">
        <v>1101</v>
      </c>
      <c r="D63" s="88"/>
      <c r="E63" s="353"/>
      <c r="F63" s="61" t="s">
        <v>710</v>
      </c>
      <c r="G63" s="61" t="s">
        <v>710</v>
      </c>
    </row>
    <row r="64">
      <c r="A64" s="81" t="s">
        <v>462</v>
      </c>
      <c r="B64" s="59" t="s">
        <v>347</v>
      </c>
      <c r="C64" s="59" t="s">
        <v>189</v>
      </c>
      <c r="D64" s="88" t="s">
        <v>677</v>
      </c>
      <c r="E64" s="352">
        <v>46058.0</v>
      </c>
      <c r="F64" s="61" t="s">
        <v>1100</v>
      </c>
      <c r="G64" s="352">
        <v>46344.0</v>
      </c>
    </row>
    <row r="65">
      <c r="A65" s="81" t="s">
        <v>464</v>
      </c>
      <c r="B65" s="88" t="s">
        <v>347</v>
      </c>
      <c r="C65" s="59" t="s">
        <v>189</v>
      </c>
      <c r="D65" s="88" t="s">
        <v>677</v>
      </c>
      <c r="E65" s="352">
        <v>46058.0</v>
      </c>
      <c r="F65" s="87" t="s">
        <v>994</v>
      </c>
      <c r="G65" s="61" t="s">
        <v>710</v>
      </c>
    </row>
    <row r="66">
      <c r="A66" s="81" t="s">
        <v>465</v>
      </c>
      <c r="B66" s="88" t="s">
        <v>347</v>
      </c>
      <c r="C66" s="59" t="s">
        <v>189</v>
      </c>
      <c r="D66" s="77" t="s">
        <v>674</v>
      </c>
      <c r="E66" s="352">
        <v>46058.0</v>
      </c>
      <c r="F66" s="87" t="s">
        <v>994</v>
      </c>
      <c r="G66" s="61" t="s">
        <v>710</v>
      </c>
    </row>
    <row r="67">
      <c r="A67" s="81" t="s">
        <v>466</v>
      </c>
      <c r="B67" s="88" t="s">
        <v>347</v>
      </c>
      <c r="C67" s="59" t="s">
        <v>189</v>
      </c>
      <c r="D67" s="88" t="s">
        <v>677</v>
      </c>
      <c r="E67" s="352">
        <v>46058.0</v>
      </c>
      <c r="F67" s="87" t="s">
        <v>1100</v>
      </c>
      <c r="G67" s="352">
        <v>46344.0</v>
      </c>
    </row>
    <row r="68">
      <c r="A68" s="81" t="s">
        <v>467</v>
      </c>
      <c r="B68" s="59" t="s">
        <v>347</v>
      </c>
      <c r="C68" s="59" t="s">
        <v>189</v>
      </c>
      <c r="D68" s="77" t="s">
        <v>674</v>
      </c>
      <c r="E68" s="352">
        <v>46058.0</v>
      </c>
      <c r="F68" s="61" t="s">
        <v>1100</v>
      </c>
      <c r="G68" s="352">
        <v>46344.0</v>
      </c>
    </row>
    <row r="69">
      <c r="A69" s="81" t="s">
        <v>468</v>
      </c>
      <c r="B69" s="59" t="s">
        <v>347</v>
      </c>
      <c r="C69" s="59" t="s">
        <v>189</v>
      </c>
      <c r="D69" s="77" t="s">
        <v>674</v>
      </c>
      <c r="E69" s="352">
        <v>46058.0</v>
      </c>
      <c r="F69" s="61" t="s">
        <v>1100</v>
      </c>
      <c r="G69" s="352">
        <v>46344.0</v>
      </c>
    </row>
    <row r="70">
      <c r="A70" s="81" t="s">
        <v>678</v>
      </c>
      <c r="B70" s="59" t="s">
        <v>347</v>
      </c>
      <c r="C70" s="59" t="s">
        <v>189</v>
      </c>
      <c r="D70" s="77" t="s">
        <v>674</v>
      </c>
      <c r="E70" s="352">
        <v>46058.0</v>
      </c>
      <c r="F70" s="61" t="s">
        <v>1100</v>
      </c>
      <c r="G70" s="352">
        <v>46344.0</v>
      </c>
    </row>
    <row r="71">
      <c r="A71" s="81">
        <v>24426.0</v>
      </c>
      <c r="B71" s="59" t="s">
        <v>347</v>
      </c>
      <c r="C71" s="77" t="s">
        <v>1101</v>
      </c>
      <c r="D71" s="88"/>
      <c r="E71" s="353"/>
      <c r="F71" s="69" t="s">
        <v>710</v>
      </c>
      <c r="G71" s="61" t="s">
        <v>710</v>
      </c>
    </row>
    <row r="72">
      <c r="A72" s="81">
        <v>1352.0</v>
      </c>
      <c r="B72" s="59" t="s">
        <v>347</v>
      </c>
      <c r="C72" s="59" t="s">
        <v>189</v>
      </c>
      <c r="D72" s="77" t="s">
        <v>674</v>
      </c>
      <c r="E72" s="352">
        <v>46058.0</v>
      </c>
      <c r="F72" s="61" t="s">
        <v>994</v>
      </c>
      <c r="G72" s="61" t="s">
        <v>710</v>
      </c>
    </row>
    <row r="73">
      <c r="A73" s="81">
        <v>1345.0</v>
      </c>
      <c r="B73" s="59" t="s">
        <v>347</v>
      </c>
      <c r="C73" s="77" t="s">
        <v>1101</v>
      </c>
      <c r="D73" s="88"/>
      <c r="E73" s="353"/>
      <c r="F73" s="61" t="s">
        <v>710</v>
      </c>
      <c r="G73" s="61" t="s">
        <v>710</v>
      </c>
    </row>
    <row r="74">
      <c r="A74" s="81">
        <v>24193.0</v>
      </c>
      <c r="B74" s="59" t="s">
        <v>347</v>
      </c>
      <c r="C74" s="59" t="s">
        <v>189</v>
      </c>
      <c r="D74" s="77" t="s">
        <v>674</v>
      </c>
      <c r="E74" s="352">
        <v>46058.0</v>
      </c>
      <c r="F74" s="61" t="s">
        <v>994</v>
      </c>
      <c r="G74" s="61" t="s">
        <v>710</v>
      </c>
    </row>
    <row r="75">
      <c r="F75" s="300"/>
    </row>
    <row r="76">
      <c r="F76" s="300"/>
    </row>
    <row r="77">
      <c r="F77" s="300"/>
    </row>
    <row r="78">
      <c r="F78" s="300"/>
    </row>
    <row r="79">
      <c r="F79" s="300"/>
    </row>
    <row r="80">
      <c r="F80" s="300"/>
    </row>
    <row r="81">
      <c r="F81" s="300"/>
    </row>
    <row r="82">
      <c r="F82" s="300"/>
    </row>
    <row r="83">
      <c r="F83" s="300"/>
    </row>
    <row r="84">
      <c r="F84" s="300"/>
    </row>
    <row r="85">
      <c r="F85" s="300"/>
    </row>
    <row r="86">
      <c r="F86" s="300"/>
    </row>
    <row r="87">
      <c r="F87" s="300"/>
    </row>
    <row r="88">
      <c r="F88" s="300"/>
    </row>
    <row r="89">
      <c r="F89" s="300"/>
    </row>
    <row r="90">
      <c r="F90" s="300"/>
    </row>
    <row r="91">
      <c r="F91" s="300"/>
    </row>
    <row r="92">
      <c r="F92" s="300"/>
    </row>
    <row r="93">
      <c r="F93" s="300"/>
    </row>
    <row r="94">
      <c r="F94" s="300"/>
    </row>
    <row r="95">
      <c r="F95" s="300"/>
    </row>
    <row r="96">
      <c r="F96" s="300"/>
    </row>
    <row r="97">
      <c r="F97" s="300"/>
    </row>
    <row r="98">
      <c r="F98" s="300"/>
    </row>
    <row r="99">
      <c r="F99" s="300"/>
    </row>
    <row r="100">
      <c r="F100" s="300"/>
    </row>
    <row r="101">
      <c r="F101" s="300"/>
    </row>
    <row r="102">
      <c r="F102" s="300"/>
    </row>
    <row r="103">
      <c r="F103" s="300"/>
    </row>
    <row r="104">
      <c r="F104" s="300"/>
    </row>
    <row r="105">
      <c r="F105" s="300"/>
    </row>
    <row r="106">
      <c r="F106" s="300"/>
    </row>
    <row r="107">
      <c r="F107" s="300"/>
    </row>
    <row r="108">
      <c r="F108" s="300"/>
    </row>
    <row r="109">
      <c r="F109" s="300"/>
    </row>
    <row r="110">
      <c r="F110" s="300"/>
    </row>
    <row r="111">
      <c r="F111" s="300"/>
    </row>
    <row r="112">
      <c r="F112" s="300"/>
    </row>
    <row r="113">
      <c r="F113" s="300"/>
    </row>
    <row r="114">
      <c r="F114" s="300"/>
    </row>
    <row r="115">
      <c r="F115" s="300"/>
    </row>
    <row r="116">
      <c r="F116" s="300"/>
    </row>
    <row r="117">
      <c r="F117" s="300"/>
    </row>
    <row r="118">
      <c r="F118" s="300"/>
    </row>
    <row r="119">
      <c r="F119" s="300"/>
    </row>
    <row r="120">
      <c r="F120" s="300"/>
    </row>
    <row r="121">
      <c r="F121" s="300"/>
    </row>
    <row r="122">
      <c r="F122" s="300"/>
    </row>
    <row r="123">
      <c r="F123" s="300"/>
    </row>
    <row r="124">
      <c r="F124" s="300"/>
    </row>
    <row r="125">
      <c r="F125" s="300"/>
    </row>
    <row r="126">
      <c r="F126" s="300"/>
    </row>
    <row r="127">
      <c r="F127" s="300"/>
    </row>
    <row r="128">
      <c r="F128" s="300"/>
    </row>
    <row r="129">
      <c r="F129" s="300"/>
    </row>
    <row r="130">
      <c r="F130" s="300"/>
    </row>
    <row r="131">
      <c r="F131" s="300"/>
    </row>
    <row r="132">
      <c r="F132" s="300"/>
    </row>
    <row r="133">
      <c r="F133" s="300"/>
    </row>
    <row r="134">
      <c r="F134" s="300"/>
    </row>
    <row r="135">
      <c r="F135" s="300"/>
    </row>
    <row r="136">
      <c r="F136" s="300"/>
    </row>
    <row r="137">
      <c r="F137" s="300"/>
    </row>
    <row r="138">
      <c r="F138" s="300"/>
    </row>
    <row r="139">
      <c r="F139" s="300"/>
    </row>
    <row r="140">
      <c r="F140" s="300"/>
    </row>
    <row r="141">
      <c r="F141" s="300"/>
    </row>
    <row r="142">
      <c r="F142" s="300"/>
    </row>
    <row r="143">
      <c r="F143" s="300"/>
    </row>
    <row r="144">
      <c r="F144" s="300"/>
    </row>
    <row r="145">
      <c r="F145" s="300"/>
    </row>
    <row r="146">
      <c r="F146" s="300"/>
    </row>
    <row r="147">
      <c r="F147" s="300"/>
    </row>
    <row r="148">
      <c r="F148" s="300"/>
    </row>
    <row r="149">
      <c r="F149" s="300"/>
    </row>
    <row r="150">
      <c r="F150" s="300"/>
    </row>
    <row r="151">
      <c r="F151" s="300"/>
    </row>
    <row r="152">
      <c r="F152" s="300"/>
    </row>
    <row r="153">
      <c r="F153" s="300"/>
    </row>
    <row r="154">
      <c r="F154" s="300"/>
    </row>
    <row r="155">
      <c r="F155" s="300"/>
    </row>
    <row r="156">
      <c r="F156" s="300"/>
    </row>
    <row r="157">
      <c r="F157" s="300"/>
    </row>
    <row r="158">
      <c r="F158" s="300"/>
    </row>
    <row r="159">
      <c r="F159" s="300"/>
    </row>
    <row r="160">
      <c r="F160" s="300"/>
    </row>
    <row r="161">
      <c r="F161" s="300"/>
    </row>
    <row r="162">
      <c r="F162" s="300"/>
    </row>
    <row r="163">
      <c r="F163" s="300"/>
    </row>
    <row r="164">
      <c r="F164" s="300"/>
    </row>
    <row r="165">
      <c r="F165" s="300"/>
    </row>
    <row r="166">
      <c r="F166" s="300"/>
    </row>
    <row r="167">
      <c r="F167" s="300"/>
    </row>
    <row r="168">
      <c r="F168" s="300"/>
    </row>
    <row r="169">
      <c r="F169" s="300"/>
    </row>
    <row r="170">
      <c r="F170" s="300"/>
    </row>
    <row r="171">
      <c r="F171" s="300"/>
    </row>
    <row r="172">
      <c r="F172" s="300"/>
    </row>
    <row r="173">
      <c r="F173" s="300"/>
    </row>
    <row r="174">
      <c r="F174" s="300"/>
    </row>
    <row r="175">
      <c r="F175" s="300"/>
    </row>
    <row r="176">
      <c r="F176" s="300"/>
    </row>
    <row r="177">
      <c r="F177" s="300"/>
    </row>
    <row r="178">
      <c r="F178" s="300"/>
    </row>
    <row r="179">
      <c r="F179" s="300"/>
    </row>
    <row r="180">
      <c r="F180" s="300"/>
    </row>
    <row r="181">
      <c r="F181" s="300"/>
    </row>
    <row r="182">
      <c r="F182" s="300"/>
    </row>
    <row r="183">
      <c r="F183" s="300"/>
    </row>
    <row r="184">
      <c r="F184" s="300"/>
    </row>
    <row r="185">
      <c r="F185" s="300"/>
    </row>
    <row r="186">
      <c r="F186" s="300"/>
    </row>
    <row r="187">
      <c r="F187" s="300"/>
    </row>
    <row r="188">
      <c r="F188" s="300"/>
    </row>
    <row r="189">
      <c r="F189" s="300"/>
    </row>
    <row r="190">
      <c r="F190" s="300"/>
    </row>
    <row r="191">
      <c r="F191" s="300"/>
    </row>
    <row r="192">
      <c r="F192" s="300"/>
    </row>
    <row r="193">
      <c r="F193" s="300"/>
    </row>
    <row r="194">
      <c r="F194" s="300"/>
    </row>
    <row r="195">
      <c r="F195" s="300"/>
    </row>
    <row r="196">
      <c r="F196" s="300"/>
    </row>
    <row r="197">
      <c r="F197" s="300"/>
    </row>
    <row r="198">
      <c r="F198" s="300"/>
    </row>
    <row r="199">
      <c r="F199" s="300"/>
    </row>
    <row r="200">
      <c r="F200" s="300"/>
    </row>
    <row r="201">
      <c r="F201" s="300"/>
    </row>
    <row r="202">
      <c r="F202" s="300"/>
    </row>
    <row r="203">
      <c r="F203" s="300"/>
    </row>
    <row r="204">
      <c r="F204" s="300"/>
    </row>
    <row r="205">
      <c r="F205" s="300"/>
    </row>
    <row r="206">
      <c r="F206" s="300"/>
    </row>
    <row r="207">
      <c r="F207" s="300"/>
    </row>
    <row r="208">
      <c r="F208" s="300"/>
    </row>
    <row r="209">
      <c r="F209" s="300"/>
    </row>
    <row r="210">
      <c r="F210" s="300"/>
    </row>
    <row r="211">
      <c r="F211" s="300"/>
    </row>
    <row r="212">
      <c r="F212" s="300"/>
    </row>
    <row r="213">
      <c r="F213" s="300"/>
    </row>
    <row r="214">
      <c r="F214" s="300"/>
    </row>
    <row r="215">
      <c r="F215" s="300"/>
    </row>
    <row r="216">
      <c r="F216" s="300"/>
    </row>
    <row r="217">
      <c r="F217" s="300"/>
    </row>
    <row r="218">
      <c r="F218" s="300"/>
    </row>
    <row r="219">
      <c r="F219" s="300"/>
    </row>
    <row r="220">
      <c r="F220" s="300"/>
    </row>
    <row r="221">
      <c r="F221" s="300"/>
    </row>
    <row r="222">
      <c r="F222" s="300"/>
    </row>
    <row r="223">
      <c r="F223" s="300"/>
    </row>
    <row r="224">
      <c r="F224" s="300"/>
    </row>
    <row r="225">
      <c r="F225" s="300"/>
    </row>
    <row r="226">
      <c r="F226" s="300"/>
    </row>
    <row r="227">
      <c r="F227" s="300"/>
    </row>
    <row r="228">
      <c r="F228" s="300"/>
    </row>
    <row r="229">
      <c r="F229" s="300"/>
    </row>
    <row r="230">
      <c r="F230" s="300"/>
    </row>
    <row r="231">
      <c r="F231" s="300"/>
    </row>
    <row r="232">
      <c r="F232" s="300"/>
    </row>
    <row r="233">
      <c r="F233" s="300"/>
    </row>
    <row r="234">
      <c r="F234" s="300"/>
    </row>
    <row r="235">
      <c r="F235" s="300"/>
    </row>
    <row r="236">
      <c r="F236" s="300"/>
    </row>
    <row r="237">
      <c r="F237" s="300"/>
    </row>
    <row r="238">
      <c r="F238" s="300"/>
    </row>
    <row r="239">
      <c r="F239" s="300"/>
    </row>
    <row r="240">
      <c r="F240" s="300"/>
    </row>
    <row r="241">
      <c r="F241" s="300"/>
    </row>
    <row r="242">
      <c r="F242" s="300"/>
    </row>
    <row r="243">
      <c r="F243" s="300"/>
    </row>
    <row r="244">
      <c r="F244" s="300"/>
    </row>
    <row r="245">
      <c r="F245" s="300"/>
    </row>
    <row r="246">
      <c r="F246" s="300"/>
    </row>
    <row r="247">
      <c r="F247" s="300"/>
    </row>
    <row r="248">
      <c r="F248" s="300"/>
    </row>
    <row r="249">
      <c r="F249" s="300"/>
    </row>
    <row r="250">
      <c r="F250" s="300"/>
    </row>
    <row r="251">
      <c r="F251" s="300"/>
    </row>
    <row r="252">
      <c r="F252" s="300"/>
    </row>
    <row r="253">
      <c r="F253" s="300"/>
    </row>
    <row r="254">
      <c r="F254" s="300"/>
    </row>
    <row r="255">
      <c r="F255" s="300"/>
    </row>
    <row r="256">
      <c r="F256" s="300"/>
    </row>
    <row r="257">
      <c r="F257" s="300"/>
    </row>
    <row r="258">
      <c r="F258" s="300"/>
    </row>
    <row r="259">
      <c r="F259" s="300"/>
    </row>
    <row r="260">
      <c r="F260" s="300"/>
    </row>
    <row r="261">
      <c r="F261" s="300"/>
    </row>
    <row r="262">
      <c r="F262" s="300"/>
    </row>
    <row r="263">
      <c r="F263" s="300"/>
    </row>
    <row r="264">
      <c r="F264" s="300"/>
    </row>
    <row r="265">
      <c r="F265" s="300"/>
    </row>
    <row r="266">
      <c r="F266" s="300"/>
    </row>
    <row r="267">
      <c r="F267" s="300"/>
    </row>
    <row r="268">
      <c r="F268" s="300"/>
    </row>
    <row r="269">
      <c r="F269" s="300"/>
    </row>
    <row r="270">
      <c r="F270" s="300"/>
    </row>
    <row r="271">
      <c r="F271" s="300"/>
    </row>
    <row r="272">
      <c r="F272" s="300"/>
    </row>
    <row r="273">
      <c r="F273" s="300"/>
    </row>
    <row r="274">
      <c r="F274" s="300"/>
    </row>
    <row r="275">
      <c r="F275" s="300"/>
    </row>
    <row r="276">
      <c r="F276" s="300"/>
    </row>
    <row r="277">
      <c r="F277" s="300"/>
    </row>
    <row r="278">
      <c r="F278" s="300"/>
    </row>
    <row r="279">
      <c r="F279" s="300"/>
    </row>
    <row r="280">
      <c r="F280" s="300"/>
    </row>
    <row r="281">
      <c r="F281" s="300"/>
    </row>
    <row r="282">
      <c r="F282" s="300"/>
    </row>
    <row r="283">
      <c r="F283" s="300"/>
    </row>
    <row r="284">
      <c r="F284" s="300"/>
    </row>
    <row r="285">
      <c r="F285" s="300"/>
    </row>
    <row r="286">
      <c r="F286" s="300"/>
    </row>
    <row r="287">
      <c r="F287" s="300"/>
    </row>
    <row r="288">
      <c r="F288" s="300"/>
    </row>
    <row r="289">
      <c r="F289" s="300"/>
    </row>
    <row r="290">
      <c r="F290" s="300"/>
    </row>
    <row r="291">
      <c r="F291" s="300"/>
    </row>
    <row r="292">
      <c r="F292" s="300"/>
    </row>
    <row r="293">
      <c r="F293" s="300"/>
    </row>
    <row r="294">
      <c r="F294" s="300"/>
    </row>
    <row r="295">
      <c r="F295" s="300"/>
    </row>
    <row r="296">
      <c r="F296" s="300"/>
    </row>
    <row r="297">
      <c r="F297" s="300"/>
    </row>
    <row r="298">
      <c r="F298" s="300"/>
    </row>
    <row r="299">
      <c r="F299" s="300"/>
    </row>
    <row r="300">
      <c r="F300" s="300"/>
    </row>
    <row r="301">
      <c r="F301" s="300"/>
    </row>
    <row r="302">
      <c r="F302" s="300"/>
    </row>
    <row r="303">
      <c r="F303" s="300"/>
    </row>
    <row r="304">
      <c r="F304" s="300"/>
    </row>
    <row r="305">
      <c r="F305" s="300"/>
    </row>
    <row r="306">
      <c r="F306" s="300"/>
    </row>
    <row r="307">
      <c r="F307" s="300"/>
    </row>
    <row r="308">
      <c r="F308" s="300"/>
    </row>
    <row r="309">
      <c r="F309" s="300"/>
    </row>
    <row r="310">
      <c r="F310" s="300"/>
    </row>
    <row r="311">
      <c r="F311" s="300"/>
    </row>
    <row r="312">
      <c r="F312" s="300"/>
    </row>
    <row r="313">
      <c r="F313" s="300"/>
    </row>
    <row r="314">
      <c r="F314" s="300"/>
    </row>
    <row r="315">
      <c r="F315" s="300"/>
    </row>
    <row r="316">
      <c r="F316" s="300"/>
    </row>
    <row r="317">
      <c r="F317" s="300"/>
    </row>
    <row r="318">
      <c r="F318" s="300"/>
    </row>
    <row r="319">
      <c r="F319" s="300"/>
    </row>
    <row r="320">
      <c r="F320" s="300"/>
    </row>
    <row r="321">
      <c r="F321" s="300"/>
    </row>
    <row r="322">
      <c r="F322" s="300"/>
    </row>
    <row r="323">
      <c r="F323" s="300"/>
    </row>
    <row r="324">
      <c r="F324" s="300"/>
    </row>
    <row r="325">
      <c r="F325" s="300"/>
    </row>
    <row r="326">
      <c r="F326" s="300"/>
    </row>
    <row r="327">
      <c r="F327" s="300"/>
    </row>
    <row r="328">
      <c r="F328" s="300"/>
    </row>
    <row r="329">
      <c r="F329" s="300"/>
    </row>
    <row r="330">
      <c r="F330" s="300"/>
    </row>
    <row r="331">
      <c r="F331" s="300"/>
    </row>
    <row r="332">
      <c r="F332" s="300"/>
    </row>
    <row r="333">
      <c r="F333" s="300"/>
    </row>
    <row r="334">
      <c r="F334" s="300"/>
    </row>
    <row r="335">
      <c r="F335" s="300"/>
    </row>
    <row r="336">
      <c r="F336" s="300"/>
    </row>
    <row r="337">
      <c r="F337" s="300"/>
    </row>
    <row r="338">
      <c r="F338" s="300"/>
    </row>
    <row r="339">
      <c r="F339" s="300"/>
    </row>
    <row r="340">
      <c r="F340" s="300"/>
    </row>
    <row r="341">
      <c r="F341" s="300"/>
    </row>
    <row r="342">
      <c r="F342" s="300"/>
    </row>
    <row r="343">
      <c r="F343" s="300"/>
    </row>
    <row r="344">
      <c r="F344" s="300"/>
    </row>
    <row r="345">
      <c r="F345" s="300"/>
    </row>
    <row r="346">
      <c r="F346" s="300"/>
    </row>
    <row r="347">
      <c r="F347" s="300"/>
    </row>
    <row r="348">
      <c r="F348" s="300"/>
    </row>
    <row r="349">
      <c r="F349" s="300"/>
    </row>
    <row r="350">
      <c r="F350" s="300"/>
    </row>
    <row r="351">
      <c r="F351" s="300"/>
    </row>
    <row r="352">
      <c r="F352" s="300"/>
    </row>
    <row r="353">
      <c r="F353" s="300"/>
    </row>
    <row r="354">
      <c r="F354" s="300"/>
    </row>
    <row r="355">
      <c r="F355" s="300"/>
    </row>
    <row r="356">
      <c r="F356" s="300"/>
    </row>
    <row r="357">
      <c r="F357" s="300"/>
    </row>
    <row r="358">
      <c r="F358" s="300"/>
    </row>
    <row r="359">
      <c r="F359" s="300"/>
    </row>
    <row r="360">
      <c r="F360" s="300"/>
    </row>
    <row r="361">
      <c r="F361" s="300"/>
    </row>
    <row r="362">
      <c r="F362" s="300"/>
    </row>
    <row r="363">
      <c r="F363" s="300"/>
    </row>
    <row r="364">
      <c r="F364" s="300"/>
    </row>
    <row r="365">
      <c r="F365" s="300"/>
    </row>
    <row r="366">
      <c r="F366" s="300"/>
    </row>
    <row r="367">
      <c r="F367" s="300"/>
    </row>
    <row r="368">
      <c r="F368" s="300"/>
    </row>
    <row r="369">
      <c r="F369" s="300"/>
    </row>
    <row r="370">
      <c r="F370" s="300"/>
    </row>
    <row r="371">
      <c r="F371" s="300"/>
    </row>
    <row r="372">
      <c r="F372" s="300"/>
    </row>
    <row r="373">
      <c r="F373" s="300"/>
    </row>
    <row r="374">
      <c r="F374" s="300"/>
    </row>
    <row r="375">
      <c r="F375" s="300"/>
    </row>
    <row r="376">
      <c r="F376" s="300"/>
    </row>
    <row r="377">
      <c r="F377" s="300"/>
    </row>
    <row r="378">
      <c r="F378" s="300"/>
    </row>
    <row r="379">
      <c r="F379" s="300"/>
    </row>
    <row r="380">
      <c r="F380" s="300"/>
    </row>
    <row r="381">
      <c r="F381" s="300"/>
    </row>
    <row r="382">
      <c r="F382" s="300"/>
    </row>
    <row r="383">
      <c r="F383" s="300"/>
    </row>
    <row r="384">
      <c r="F384" s="300"/>
    </row>
    <row r="385">
      <c r="F385" s="300"/>
    </row>
    <row r="386">
      <c r="F386" s="300"/>
    </row>
    <row r="387">
      <c r="F387" s="300"/>
    </row>
    <row r="388">
      <c r="F388" s="300"/>
    </row>
    <row r="389">
      <c r="F389" s="300"/>
    </row>
    <row r="390">
      <c r="F390" s="300"/>
    </row>
    <row r="391">
      <c r="F391" s="300"/>
    </row>
    <row r="392">
      <c r="F392" s="300"/>
    </row>
    <row r="393">
      <c r="F393" s="300"/>
    </row>
    <row r="394">
      <c r="F394" s="300"/>
    </row>
    <row r="395">
      <c r="F395" s="300"/>
    </row>
    <row r="396">
      <c r="F396" s="300"/>
    </row>
    <row r="397">
      <c r="F397" s="300"/>
    </row>
    <row r="398">
      <c r="F398" s="300"/>
    </row>
    <row r="399">
      <c r="F399" s="300"/>
    </row>
    <row r="400">
      <c r="F400" s="300"/>
    </row>
    <row r="401">
      <c r="F401" s="300"/>
    </row>
    <row r="402">
      <c r="F402" s="300"/>
    </row>
    <row r="403">
      <c r="F403" s="300"/>
    </row>
    <row r="404">
      <c r="F404" s="300"/>
    </row>
    <row r="405">
      <c r="F405" s="300"/>
    </row>
    <row r="406">
      <c r="F406" s="300"/>
    </row>
    <row r="407">
      <c r="F407" s="300"/>
    </row>
    <row r="408">
      <c r="F408" s="300"/>
    </row>
    <row r="409">
      <c r="F409" s="300"/>
    </row>
    <row r="410">
      <c r="F410" s="300"/>
    </row>
    <row r="411">
      <c r="F411" s="300"/>
    </row>
    <row r="412">
      <c r="F412" s="300"/>
    </row>
    <row r="413">
      <c r="F413" s="300"/>
    </row>
    <row r="414">
      <c r="F414" s="300"/>
    </row>
    <row r="415">
      <c r="F415" s="300"/>
    </row>
    <row r="416">
      <c r="F416" s="300"/>
    </row>
    <row r="417">
      <c r="F417" s="300"/>
    </row>
    <row r="418">
      <c r="F418" s="300"/>
    </row>
    <row r="419">
      <c r="F419" s="300"/>
    </row>
    <row r="420">
      <c r="F420" s="300"/>
    </row>
    <row r="421">
      <c r="F421" s="300"/>
    </row>
    <row r="422">
      <c r="F422" s="300"/>
    </row>
    <row r="423">
      <c r="F423" s="300"/>
    </row>
    <row r="424">
      <c r="F424" s="300"/>
    </row>
    <row r="425">
      <c r="F425" s="300"/>
    </row>
    <row r="426">
      <c r="F426" s="300"/>
    </row>
    <row r="427">
      <c r="F427" s="300"/>
    </row>
    <row r="428">
      <c r="F428" s="300"/>
    </row>
    <row r="429">
      <c r="F429" s="300"/>
    </row>
    <row r="430">
      <c r="F430" s="300"/>
    </row>
    <row r="431">
      <c r="F431" s="300"/>
    </row>
    <row r="432">
      <c r="F432" s="300"/>
    </row>
    <row r="433">
      <c r="F433" s="300"/>
    </row>
    <row r="434">
      <c r="F434" s="300"/>
    </row>
    <row r="435">
      <c r="F435" s="300"/>
    </row>
    <row r="436">
      <c r="F436" s="300"/>
    </row>
    <row r="437">
      <c r="F437" s="300"/>
    </row>
    <row r="438">
      <c r="F438" s="300"/>
    </row>
    <row r="439">
      <c r="F439" s="300"/>
    </row>
    <row r="440">
      <c r="F440" s="300"/>
    </row>
    <row r="441">
      <c r="F441" s="300"/>
    </row>
    <row r="442">
      <c r="F442" s="300"/>
    </row>
    <row r="443">
      <c r="F443" s="300"/>
    </row>
    <row r="444">
      <c r="F444" s="300"/>
    </row>
    <row r="445">
      <c r="F445" s="300"/>
    </row>
    <row r="446">
      <c r="F446" s="300"/>
    </row>
    <row r="447">
      <c r="F447" s="300"/>
    </row>
    <row r="448">
      <c r="F448" s="300"/>
    </row>
    <row r="449">
      <c r="F449" s="300"/>
    </row>
    <row r="450">
      <c r="F450" s="300"/>
    </row>
    <row r="451">
      <c r="F451" s="300"/>
    </row>
    <row r="452">
      <c r="F452" s="300"/>
    </row>
    <row r="453">
      <c r="F453" s="300"/>
    </row>
    <row r="454">
      <c r="F454" s="300"/>
    </row>
    <row r="455">
      <c r="F455" s="300"/>
    </row>
    <row r="456">
      <c r="F456" s="300"/>
    </row>
    <row r="457">
      <c r="F457" s="300"/>
    </row>
    <row r="458">
      <c r="F458" s="300"/>
    </row>
    <row r="459">
      <c r="F459" s="300"/>
    </row>
    <row r="460">
      <c r="F460" s="300"/>
    </row>
    <row r="461">
      <c r="F461" s="300"/>
    </row>
    <row r="462">
      <c r="F462" s="300"/>
    </row>
    <row r="463">
      <c r="F463" s="300"/>
    </row>
    <row r="464">
      <c r="F464" s="300"/>
    </row>
    <row r="465">
      <c r="F465" s="300"/>
    </row>
    <row r="466">
      <c r="F466" s="300"/>
    </row>
    <row r="467">
      <c r="F467" s="300"/>
    </row>
    <row r="468">
      <c r="F468" s="300"/>
    </row>
    <row r="469">
      <c r="F469" s="300"/>
    </row>
    <row r="470">
      <c r="F470" s="300"/>
    </row>
    <row r="471">
      <c r="F471" s="300"/>
    </row>
    <row r="472">
      <c r="F472" s="300"/>
    </row>
    <row r="473">
      <c r="F473" s="300"/>
    </row>
    <row r="474">
      <c r="F474" s="300"/>
    </row>
    <row r="475">
      <c r="F475" s="300"/>
    </row>
    <row r="476">
      <c r="F476" s="300"/>
    </row>
    <row r="477">
      <c r="F477" s="300"/>
    </row>
    <row r="478">
      <c r="F478" s="300"/>
    </row>
    <row r="479">
      <c r="F479" s="300"/>
    </row>
    <row r="480">
      <c r="F480" s="300"/>
    </row>
    <row r="481">
      <c r="F481" s="300"/>
    </row>
    <row r="482">
      <c r="F482" s="300"/>
    </row>
    <row r="483">
      <c r="F483" s="300"/>
    </row>
    <row r="484">
      <c r="F484" s="300"/>
    </row>
    <row r="485">
      <c r="F485" s="300"/>
    </row>
    <row r="486">
      <c r="F486" s="300"/>
    </row>
    <row r="487">
      <c r="F487" s="300"/>
    </row>
    <row r="488">
      <c r="F488" s="300"/>
    </row>
    <row r="489">
      <c r="F489" s="300"/>
    </row>
    <row r="490">
      <c r="F490" s="300"/>
    </row>
    <row r="491">
      <c r="F491" s="300"/>
    </row>
    <row r="492">
      <c r="F492" s="300"/>
    </row>
    <row r="493">
      <c r="F493" s="300"/>
    </row>
    <row r="494">
      <c r="F494" s="300"/>
    </row>
    <row r="495">
      <c r="F495" s="300"/>
    </row>
    <row r="496">
      <c r="F496" s="300"/>
    </row>
    <row r="497">
      <c r="F497" s="300"/>
    </row>
    <row r="498">
      <c r="F498" s="300"/>
    </row>
    <row r="499">
      <c r="F499" s="300"/>
    </row>
    <row r="500">
      <c r="F500" s="300"/>
    </row>
    <row r="501">
      <c r="F501" s="300"/>
    </row>
    <row r="502">
      <c r="F502" s="300"/>
    </row>
    <row r="503">
      <c r="F503" s="300"/>
    </row>
    <row r="504">
      <c r="F504" s="300"/>
    </row>
    <row r="505">
      <c r="F505" s="300"/>
    </row>
    <row r="506">
      <c r="F506" s="300"/>
    </row>
    <row r="507">
      <c r="F507" s="300"/>
    </row>
    <row r="508">
      <c r="F508" s="300"/>
    </row>
    <row r="509">
      <c r="F509" s="300"/>
    </row>
    <row r="510">
      <c r="F510" s="300"/>
    </row>
    <row r="511">
      <c r="F511" s="300"/>
    </row>
    <row r="512">
      <c r="F512" s="300"/>
    </row>
    <row r="513">
      <c r="F513" s="300"/>
    </row>
    <row r="514">
      <c r="F514" s="300"/>
    </row>
    <row r="515">
      <c r="F515" s="300"/>
    </row>
    <row r="516">
      <c r="F516" s="300"/>
    </row>
    <row r="517">
      <c r="F517" s="300"/>
    </row>
    <row r="518">
      <c r="F518" s="300"/>
    </row>
    <row r="519">
      <c r="F519" s="300"/>
    </row>
    <row r="520">
      <c r="F520" s="300"/>
    </row>
    <row r="521">
      <c r="F521" s="300"/>
    </row>
    <row r="522">
      <c r="F522" s="300"/>
    </row>
    <row r="523">
      <c r="F523" s="300"/>
    </row>
    <row r="524">
      <c r="F524" s="300"/>
    </row>
    <row r="525">
      <c r="F525" s="300"/>
    </row>
    <row r="526">
      <c r="F526" s="300"/>
    </row>
    <row r="527">
      <c r="F527" s="300"/>
    </row>
    <row r="528">
      <c r="F528" s="300"/>
    </row>
    <row r="529">
      <c r="F529" s="300"/>
    </row>
    <row r="530">
      <c r="F530" s="300"/>
    </row>
    <row r="531">
      <c r="F531" s="300"/>
    </row>
    <row r="532">
      <c r="F532" s="300"/>
    </row>
    <row r="533">
      <c r="F533" s="300"/>
    </row>
    <row r="534">
      <c r="F534" s="300"/>
    </row>
    <row r="535">
      <c r="F535" s="300"/>
    </row>
    <row r="536">
      <c r="F536" s="300"/>
    </row>
    <row r="537">
      <c r="F537" s="300"/>
    </row>
    <row r="538">
      <c r="F538" s="300"/>
    </row>
    <row r="539">
      <c r="F539" s="300"/>
    </row>
    <row r="540">
      <c r="F540" s="300"/>
    </row>
    <row r="541">
      <c r="F541" s="300"/>
    </row>
    <row r="542">
      <c r="F542" s="300"/>
    </row>
    <row r="543">
      <c r="F543" s="300"/>
    </row>
    <row r="544">
      <c r="F544" s="300"/>
    </row>
    <row r="545">
      <c r="F545" s="300"/>
    </row>
    <row r="546">
      <c r="F546" s="300"/>
    </row>
    <row r="547">
      <c r="F547" s="300"/>
    </row>
    <row r="548">
      <c r="F548" s="300"/>
    </row>
    <row r="549">
      <c r="F549" s="300"/>
    </row>
    <row r="550">
      <c r="F550" s="300"/>
    </row>
    <row r="551">
      <c r="F551" s="300"/>
    </row>
    <row r="552">
      <c r="F552" s="300"/>
    </row>
    <row r="553">
      <c r="F553" s="300"/>
    </row>
    <row r="554">
      <c r="F554" s="300"/>
    </row>
    <row r="555">
      <c r="F555" s="300"/>
    </row>
    <row r="556">
      <c r="F556" s="300"/>
    </row>
    <row r="557">
      <c r="F557" s="300"/>
    </row>
    <row r="558">
      <c r="F558" s="300"/>
    </row>
    <row r="559">
      <c r="F559" s="300"/>
    </row>
    <row r="560">
      <c r="F560" s="300"/>
    </row>
    <row r="561">
      <c r="F561" s="300"/>
    </row>
    <row r="562">
      <c r="F562" s="300"/>
    </row>
    <row r="563">
      <c r="F563" s="300"/>
    </row>
    <row r="564">
      <c r="F564" s="300"/>
    </row>
    <row r="565">
      <c r="F565" s="300"/>
    </row>
    <row r="566">
      <c r="F566" s="300"/>
    </row>
    <row r="567">
      <c r="F567" s="300"/>
    </row>
    <row r="568">
      <c r="F568" s="300"/>
    </row>
    <row r="569">
      <c r="F569" s="300"/>
    </row>
    <row r="570">
      <c r="F570" s="300"/>
    </row>
    <row r="571">
      <c r="F571" s="300"/>
    </row>
    <row r="572">
      <c r="F572" s="300"/>
    </row>
    <row r="573">
      <c r="F573" s="300"/>
    </row>
    <row r="574">
      <c r="F574" s="300"/>
    </row>
    <row r="575">
      <c r="F575" s="300"/>
    </row>
    <row r="576">
      <c r="F576" s="300"/>
    </row>
    <row r="577">
      <c r="F577" s="300"/>
    </row>
    <row r="578">
      <c r="F578" s="300"/>
    </row>
    <row r="579">
      <c r="F579" s="300"/>
    </row>
    <row r="580">
      <c r="F580" s="300"/>
    </row>
    <row r="581">
      <c r="F581" s="300"/>
    </row>
    <row r="582">
      <c r="F582" s="300"/>
    </row>
    <row r="583">
      <c r="F583" s="300"/>
    </row>
    <row r="584">
      <c r="F584" s="300"/>
    </row>
    <row r="585">
      <c r="F585" s="300"/>
    </row>
    <row r="586">
      <c r="F586" s="300"/>
    </row>
    <row r="587">
      <c r="F587" s="300"/>
    </row>
    <row r="588">
      <c r="F588" s="300"/>
    </row>
    <row r="589">
      <c r="F589" s="300"/>
    </row>
    <row r="590">
      <c r="F590" s="300"/>
    </row>
    <row r="591">
      <c r="F591" s="300"/>
    </row>
    <row r="592">
      <c r="F592" s="300"/>
    </row>
    <row r="593">
      <c r="F593" s="300"/>
    </row>
    <row r="594">
      <c r="F594" s="300"/>
    </row>
    <row r="595">
      <c r="F595" s="300"/>
    </row>
    <row r="596">
      <c r="F596" s="300"/>
    </row>
    <row r="597">
      <c r="F597" s="300"/>
    </row>
    <row r="598">
      <c r="F598" s="300"/>
    </row>
    <row r="599">
      <c r="F599" s="300"/>
    </row>
    <row r="600">
      <c r="F600" s="300"/>
    </row>
    <row r="601">
      <c r="F601" s="300"/>
    </row>
    <row r="602">
      <c r="F602" s="300"/>
    </row>
    <row r="603">
      <c r="F603" s="300"/>
    </row>
    <row r="604">
      <c r="F604" s="300"/>
    </row>
    <row r="605">
      <c r="F605" s="300"/>
    </row>
    <row r="606">
      <c r="F606" s="300"/>
    </row>
    <row r="607">
      <c r="F607" s="300"/>
    </row>
    <row r="608">
      <c r="F608" s="300"/>
    </row>
    <row r="609">
      <c r="F609" s="300"/>
    </row>
    <row r="610">
      <c r="F610" s="300"/>
    </row>
    <row r="611">
      <c r="F611" s="300"/>
    </row>
    <row r="612">
      <c r="F612" s="300"/>
    </row>
    <row r="613">
      <c r="F613" s="300"/>
    </row>
    <row r="614">
      <c r="F614" s="300"/>
    </row>
    <row r="615">
      <c r="F615" s="300"/>
    </row>
    <row r="616">
      <c r="F616" s="300"/>
    </row>
    <row r="617">
      <c r="F617" s="300"/>
    </row>
    <row r="618">
      <c r="F618" s="300"/>
    </row>
    <row r="619">
      <c r="F619" s="300"/>
    </row>
    <row r="620">
      <c r="F620" s="300"/>
    </row>
    <row r="621">
      <c r="F621" s="300"/>
    </row>
    <row r="622">
      <c r="F622" s="300"/>
    </row>
    <row r="623">
      <c r="F623" s="300"/>
    </row>
    <row r="624">
      <c r="F624" s="300"/>
    </row>
    <row r="625">
      <c r="F625" s="300"/>
    </row>
    <row r="626">
      <c r="F626" s="300"/>
    </row>
    <row r="627">
      <c r="F627" s="300"/>
    </row>
    <row r="628">
      <c r="F628" s="300"/>
    </row>
    <row r="629">
      <c r="F629" s="300"/>
    </row>
    <row r="630">
      <c r="F630" s="300"/>
    </row>
    <row r="631">
      <c r="F631" s="300"/>
    </row>
    <row r="632">
      <c r="F632" s="300"/>
    </row>
    <row r="633">
      <c r="F633" s="300"/>
    </row>
    <row r="634">
      <c r="F634" s="300"/>
    </row>
    <row r="635">
      <c r="F635" s="300"/>
    </row>
    <row r="636">
      <c r="F636" s="300"/>
    </row>
    <row r="637">
      <c r="F637" s="300"/>
    </row>
    <row r="638">
      <c r="F638" s="300"/>
    </row>
    <row r="639">
      <c r="F639" s="300"/>
    </row>
    <row r="640">
      <c r="F640" s="300"/>
    </row>
    <row r="641">
      <c r="F641" s="300"/>
    </row>
    <row r="642">
      <c r="F642" s="300"/>
    </row>
    <row r="643">
      <c r="F643" s="300"/>
    </row>
    <row r="644">
      <c r="F644" s="300"/>
    </row>
    <row r="645">
      <c r="F645" s="300"/>
    </row>
    <row r="646">
      <c r="F646" s="300"/>
    </row>
    <row r="647">
      <c r="F647" s="300"/>
    </row>
    <row r="648">
      <c r="F648" s="300"/>
    </row>
    <row r="649">
      <c r="F649" s="300"/>
    </row>
    <row r="650">
      <c r="F650" s="300"/>
    </row>
    <row r="651">
      <c r="F651" s="300"/>
    </row>
    <row r="652">
      <c r="F652" s="300"/>
    </row>
    <row r="653">
      <c r="F653" s="300"/>
    </row>
    <row r="654">
      <c r="F654" s="300"/>
    </row>
    <row r="655">
      <c r="F655" s="300"/>
    </row>
    <row r="656">
      <c r="F656" s="300"/>
    </row>
    <row r="657">
      <c r="F657" s="300"/>
    </row>
    <row r="658">
      <c r="F658" s="300"/>
    </row>
    <row r="659">
      <c r="F659" s="300"/>
    </row>
    <row r="660">
      <c r="F660" s="300"/>
    </row>
    <row r="661">
      <c r="F661" s="300"/>
    </row>
    <row r="662">
      <c r="F662" s="300"/>
    </row>
    <row r="663">
      <c r="F663" s="300"/>
    </row>
    <row r="664">
      <c r="F664" s="300"/>
    </row>
    <row r="665">
      <c r="F665" s="300"/>
    </row>
    <row r="666">
      <c r="F666" s="300"/>
    </row>
    <row r="667">
      <c r="F667" s="300"/>
    </row>
    <row r="668">
      <c r="F668" s="300"/>
    </row>
    <row r="669">
      <c r="F669" s="300"/>
    </row>
    <row r="670">
      <c r="F670" s="300"/>
    </row>
    <row r="671">
      <c r="F671" s="300"/>
    </row>
    <row r="672">
      <c r="F672" s="300"/>
    </row>
    <row r="673">
      <c r="F673" s="300"/>
    </row>
    <row r="674">
      <c r="F674" s="300"/>
    </row>
    <row r="675">
      <c r="F675" s="300"/>
    </row>
    <row r="676">
      <c r="F676" s="300"/>
    </row>
    <row r="677">
      <c r="F677" s="300"/>
    </row>
    <row r="678">
      <c r="F678" s="300"/>
    </row>
    <row r="679">
      <c r="F679" s="300"/>
    </row>
    <row r="680">
      <c r="F680" s="300"/>
    </row>
    <row r="681">
      <c r="F681" s="300"/>
    </row>
    <row r="682">
      <c r="F682" s="300"/>
    </row>
    <row r="683">
      <c r="F683" s="300"/>
    </row>
    <row r="684">
      <c r="F684" s="300"/>
    </row>
    <row r="685">
      <c r="F685" s="300"/>
    </row>
    <row r="686">
      <c r="F686" s="300"/>
    </row>
    <row r="687">
      <c r="F687" s="300"/>
    </row>
    <row r="688">
      <c r="F688" s="300"/>
    </row>
    <row r="689">
      <c r="F689" s="300"/>
    </row>
    <row r="690">
      <c r="F690" s="300"/>
    </row>
    <row r="691">
      <c r="F691" s="300"/>
    </row>
    <row r="692">
      <c r="F692" s="300"/>
    </row>
    <row r="693">
      <c r="F693" s="300"/>
    </row>
    <row r="694">
      <c r="F694" s="300"/>
    </row>
    <row r="695">
      <c r="F695" s="300"/>
    </row>
    <row r="696">
      <c r="F696" s="300"/>
    </row>
    <row r="697">
      <c r="F697" s="300"/>
    </row>
    <row r="698">
      <c r="F698" s="300"/>
    </row>
    <row r="699">
      <c r="F699" s="300"/>
    </row>
    <row r="700">
      <c r="F700" s="300"/>
    </row>
    <row r="701">
      <c r="F701" s="300"/>
    </row>
    <row r="702">
      <c r="F702" s="300"/>
    </row>
    <row r="703">
      <c r="F703" s="300"/>
    </row>
    <row r="704">
      <c r="F704" s="300"/>
    </row>
    <row r="705">
      <c r="F705" s="300"/>
    </row>
    <row r="706">
      <c r="F706" s="300"/>
    </row>
    <row r="707">
      <c r="F707" s="300"/>
    </row>
    <row r="708">
      <c r="F708" s="300"/>
    </row>
    <row r="709">
      <c r="F709" s="300"/>
    </row>
    <row r="710">
      <c r="F710" s="300"/>
    </row>
    <row r="711">
      <c r="F711" s="300"/>
    </row>
    <row r="712">
      <c r="F712" s="300"/>
    </row>
    <row r="713">
      <c r="F713" s="300"/>
    </row>
    <row r="714">
      <c r="F714" s="300"/>
    </row>
    <row r="715">
      <c r="F715" s="300"/>
    </row>
    <row r="716">
      <c r="F716" s="300"/>
    </row>
    <row r="717">
      <c r="F717" s="300"/>
    </row>
    <row r="718">
      <c r="F718" s="300"/>
    </row>
    <row r="719">
      <c r="F719" s="300"/>
    </row>
    <row r="720">
      <c r="F720" s="300"/>
    </row>
    <row r="721">
      <c r="F721" s="300"/>
    </row>
    <row r="722">
      <c r="F722" s="300"/>
    </row>
    <row r="723">
      <c r="F723" s="300"/>
    </row>
    <row r="724">
      <c r="F724" s="300"/>
    </row>
    <row r="725">
      <c r="F725" s="300"/>
    </row>
    <row r="726">
      <c r="F726" s="300"/>
    </row>
    <row r="727">
      <c r="F727" s="300"/>
    </row>
    <row r="728">
      <c r="F728" s="300"/>
    </row>
    <row r="729">
      <c r="F729" s="300"/>
    </row>
    <row r="730">
      <c r="F730" s="300"/>
    </row>
    <row r="731">
      <c r="F731" s="300"/>
    </row>
    <row r="732">
      <c r="F732" s="300"/>
    </row>
    <row r="733">
      <c r="F733" s="300"/>
    </row>
    <row r="734">
      <c r="F734" s="300"/>
    </row>
    <row r="735">
      <c r="F735" s="300"/>
    </row>
    <row r="736">
      <c r="F736" s="300"/>
    </row>
    <row r="737">
      <c r="F737" s="300"/>
    </row>
    <row r="738">
      <c r="F738" s="300"/>
    </row>
    <row r="739">
      <c r="F739" s="300"/>
    </row>
    <row r="740">
      <c r="F740" s="300"/>
    </row>
    <row r="741">
      <c r="F741" s="300"/>
    </row>
    <row r="742">
      <c r="F742" s="300"/>
    </row>
    <row r="743">
      <c r="F743" s="300"/>
    </row>
    <row r="744">
      <c r="F744" s="300"/>
    </row>
    <row r="745">
      <c r="F745" s="300"/>
    </row>
    <row r="746">
      <c r="F746" s="300"/>
    </row>
    <row r="747">
      <c r="F747" s="300"/>
    </row>
    <row r="748">
      <c r="F748" s="300"/>
    </row>
    <row r="749">
      <c r="F749" s="300"/>
    </row>
    <row r="750">
      <c r="F750" s="300"/>
    </row>
    <row r="751">
      <c r="F751" s="300"/>
    </row>
    <row r="752">
      <c r="F752" s="300"/>
    </row>
    <row r="753">
      <c r="F753" s="300"/>
    </row>
    <row r="754">
      <c r="F754" s="300"/>
    </row>
    <row r="755">
      <c r="F755" s="300"/>
    </row>
    <row r="756">
      <c r="F756" s="300"/>
    </row>
    <row r="757">
      <c r="F757" s="300"/>
    </row>
    <row r="758">
      <c r="F758" s="300"/>
    </row>
    <row r="759">
      <c r="F759" s="300"/>
    </row>
    <row r="760">
      <c r="F760" s="300"/>
    </row>
    <row r="761">
      <c r="F761" s="300"/>
    </row>
    <row r="762">
      <c r="F762" s="300"/>
    </row>
    <row r="763">
      <c r="F763" s="300"/>
    </row>
    <row r="764">
      <c r="F764" s="300"/>
    </row>
    <row r="765">
      <c r="F765" s="300"/>
    </row>
    <row r="766">
      <c r="F766" s="300"/>
    </row>
    <row r="767">
      <c r="F767" s="300"/>
    </row>
    <row r="768">
      <c r="F768" s="300"/>
    </row>
    <row r="769">
      <c r="F769" s="300"/>
    </row>
    <row r="770">
      <c r="F770" s="300"/>
    </row>
    <row r="771">
      <c r="F771" s="300"/>
    </row>
    <row r="772">
      <c r="F772" s="300"/>
    </row>
    <row r="773">
      <c r="F773" s="300"/>
    </row>
    <row r="774">
      <c r="F774" s="300"/>
    </row>
    <row r="775">
      <c r="F775" s="300"/>
    </row>
    <row r="776">
      <c r="F776" s="300"/>
    </row>
    <row r="777">
      <c r="F777" s="300"/>
    </row>
    <row r="778">
      <c r="F778" s="300"/>
    </row>
    <row r="779">
      <c r="F779" s="300"/>
    </row>
    <row r="780">
      <c r="F780" s="300"/>
    </row>
    <row r="781">
      <c r="F781" s="300"/>
    </row>
    <row r="782">
      <c r="F782" s="300"/>
    </row>
    <row r="783">
      <c r="F783" s="300"/>
    </row>
    <row r="784">
      <c r="F784" s="300"/>
    </row>
    <row r="785">
      <c r="F785" s="300"/>
    </row>
    <row r="786">
      <c r="F786" s="300"/>
    </row>
    <row r="787">
      <c r="F787" s="300"/>
    </row>
    <row r="788">
      <c r="F788" s="300"/>
    </row>
    <row r="789">
      <c r="F789" s="300"/>
    </row>
    <row r="790">
      <c r="F790" s="300"/>
    </row>
    <row r="791">
      <c r="F791" s="300"/>
    </row>
    <row r="792">
      <c r="F792" s="300"/>
    </row>
    <row r="793">
      <c r="F793" s="300"/>
    </row>
    <row r="794">
      <c r="F794" s="300"/>
    </row>
    <row r="795">
      <c r="F795" s="300"/>
    </row>
    <row r="796">
      <c r="F796" s="300"/>
    </row>
    <row r="797">
      <c r="F797" s="300"/>
    </row>
    <row r="798">
      <c r="F798" s="300"/>
    </row>
    <row r="799">
      <c r="F799" s="300"/>
    </row>
    <row r="800">
      <c r="F800" s="300"/>
    </row>
    <row r="801">
      <c r="F801" s="300"/>
    </row>
    <row r="802">
      <c r="F802" s="300"/>
    </row>
    <row r="803">
      <c r="F803" s="300"/>
    </row>
    <row r="804">
      <c r="F804" s="300"/>
    </row>
    <row r="805">
      <c r="F805" s="300"/>
    </row>
    <row r="806">
      <c r="F806" s="300"/>
    </row>
    <row r="807">
      <c r="F807" s="300"/>
    </row>
    <row r="808">
      <c r="F808" s="300"/>
    </row>
    <row r="809">
      <c r="F809" s="300"/>
    </row>
    <row r="810">
      <c r="F810" s="300"/>
    </row>
    <row r="811">
      <c r="F811" s="300"/>
    </row>
    <row r="812">
      <c r="F812" s="300"/>
    </row>
    <row r="813">
      <c r="F813" s="300"/>
    </row>
    <row r="814">
      <c r="F814" s="300"/>
    </row>
    <row r="815">
      <c r="F815" s="300"/>
    </row>
    <row r="816">
      <c r="F816" s="300"/>
    </row>
    <row r="817">
      <c r="F817" s="300"/>
    </row>
    <row r="818">
      <c r="F818" s="300"/>
    </row>
    <row r="819">
      <c r="F819" s="300"/>
    </row>
    <row r="820">
      <c r="F820" s="300"/>
    </row>
    <row r="821">
      <c r="F821" s="300"/>
    </row>
    <row r="822">
      <c r="F822" s="300"/>
    </row>
    <row r="823">
      <c r="F823" s="300"/>
    </row>
    <row r="824">
      <c r="F824" s="300"/>
    </row>
    <row r="825">
      <c r="F825" s="300"/>
    </row>
    <row r="826">
      <c r="F826" s="300"/>
    </row>
    <row r="827">
      <c r="F827" s="300"/>
    </row>
    <row r="828">
      <c r="F828" s="300"/>
    </row>
    <row r="829">
      <c r="F829" s="300"/>
    </row>
    <row r="830">
      <c r="F830" s="300"/>
    </row>
    <row r="831">
      <c r="F831" s="300"/>
    </row>
    <row r="832">
      <c r="F832" s="300"/>
    </row>
    <row r="833">
      <c r="F833" s="300"/>
    </row>
    <row r="834">
      <c r="F834" s="300"/>
    </row>
    <row r="835">
      <c r="F835" s="300"/>
    </row>
    <row r="836">
      <c r="F836" s="300"/>
    </row>
    <row r="837">
      <c r="F837" s="300"/>
    </row>
    <row r="838">
      <c r="F838" s="300"/>
    </row>
    <row r="839">
      <c r="F839" s="300"/>
    </row>
    <row r="840">
      <c r="F840" s="300"/>
    </row>
    <row r="841">
      <c r="F841" s="300"/>
    </row>
    <row r="842">
      <c r="F842" s="300"/>
    </row>
    <row r="843">
      <c r="F843" s="300"/>
    </row>
    <row r="844">
      <c r="F844" s="300"/>
    </row>
    <row r="845">
      <c r="F845" s="300"/>
    </row>
    <row r="846">
      <c r="F846" s="300"/>
    </row>
    <row r="847">
      <c r="F847" s="300"/>
    </row>
    <row r="848">
      <c r="F848" s="300"/>
    </row>
    <row r="849">
      <c r="F849" s="300"/>
    </row>
    <row r="850">
      <c r="F850" s="300"/>
    </row>
    <row r="851">
      <c r="F851" s="300"/>
    </row>
    <row r="852">
      <c r="F852" s="300"/>
    </row>
    <row r="853">
      <c r="F853" s="300"/>
    </row>
    <row r="854">
      <c r="F854" s="300"/>
    </row>
    <row r="855">
      <c r="F855" s="300"/>
    </row>
    <row r="856">
      <c r="F856" s="300"/>
    </row>
    <row r="857">
      <c r="F857" s="300"/>
    </row>
    <row r="858">
      <c r="F858" s="300"/>
    </row>
    <row r="859">
      <c r="F859" s="300"/>
    </row>
    <row r="860">
      <c r="F860" s="300"/>
    </row>
    <row r="861">
      <c r="F861" s="300"/>
    </row>
    <row r="862">
      <c r="F862" s="300"/>
    </row>
    <row r="863">
      <c r="F863" s="300"/>
    </row>
    <row r="864">
      <c r="F864" s="300"/>
    </row>
    <row r="865">
      <c r="F865" s="300"/>
    </row>
    <row r="866">
      <c r="F866" s="300"/>
    </row>
    <row r="867">
      <c r="F867" s="300"/>
    </row>
    <row r="868">
      <c r="F868" s="300"/>
    </row>
    <row r="869">
      <c r="F869" s="300"/>
    </row>
    <row r="870">
      <c r="F870" s="300"/>
    </row>
    <row r="871">
      <c r="F871" s="300"/>
    </row>
    <row r="872">
      <c r="F872" s="300"/>
    </row>
    <row r="873">
      <c r="F873" s="300"/>
    </row>
    <row r="874">
      <c r="F874" s="300"/>
    </row>
    <row r="875">
      <c r="F875" s="300"/>
    </row>
    <row r="876">
      <c r="F876" s="300"/>
    </row>
    <row r="877">
      <c r="F877" s="300"/>
    </row>
    <row r="878">
      <c r="F878" s="300"/>
    </row>
    <row r="879">
      <c r="F879" s="300"/>
    </row>
    <row r="880">
      <c r="F880" s="300"/>
    </row>
    <row r="881">
      <c r="F881" s="300"/>
    </row>
    <row r="882">
      <c r="F882" s="300"/>
    </row>
    <row r="883">
      <c r="F883" s="300"/>
    </row>
    <row r="884">
      <c r="F884" s="300"/>
    </row>
    <row r="885">
      <c r="F885" s="300"/>
    </row>
    <row r="886">
      <c r="F886" s="300"/>
    </row>
    <row r="887">
      <c r="F887" s="300"/>
    </row>
    <row r="888">
      <c r="F888" s="300"/>
    </row>
    <row r="889">
      <c r="F889" s="300"/>
    </row>
    <row r="890">
      <c r="F890" s="300"/>
    </row>
    <row r="891">
      <c r="F891" s="300"/>
    </row>
    <row r="892">
      <c r="F892" s="300"/>
    </row>
    <row r="893">
      <c r="F893" s="300"/>
    </row>
    <row r="894">
      <c r="F894" s="300"/>
    </row>
    <row r="895">
      <c r="F895" s="300"/>
    </row>
    <row r="896">
      <c r="F896" s="300"/>
    </row>
    <row r="897">
      <c r="F897" s="300"/>
    </row>
    <row r="898">
      <c r="F898" s="300"/>
    </row>
    <row r="899">
      <c r="F899" s="300"/>
    </row>
    <row r="900">
      <c r="F900" s="300"/>
    </row>
    <row r="901">
      <c r="F901" s="300"/>
    </row>
    <row r="902">
      <c r="F902" s="300"/>
    </row>
    <row r="903">
      <c r="F903" s="300"/>
    </row>
    <row r="904">
      <c r="F904" s="300"/>
    </row>
    <row r="905">
      <c r="F905" s="300"/>
    </row>
    <row r="906">
      <c r="F906" s="300"/>
    </row>
    <row r="907">
      <c r="F907" s="300"/>
    </row>
    <row r="908">
      <c r="F908" s="300"/>
    </row>
    <row r="909">
      <c r="F909" s="300"/>
    </row>
    <row r="910">
      <c r="F910" s="300"/>
    </row>
    <row r="911">
      <c r="F911" s="300"/>
    </row>
    <row r="912">
      <c r="F912" s="300"/>
    </row>
    <row r="913">
      <c r="F913" s="300"/>
    </row>
    <row r="914">
      <c r="F914" s="300"/>
    </row>
    <row r="915">
      <c r="F915" s="300"/>
    </row>
    <row r="916">
      <c r="F916" s="300"/>
    </row>
    <row r="917">
      <c r="F917" s="300"/>
    </row>
    <row r="918">
      <c r="F918" s="300"/>
    </row>
    <row r="919">
      <c r="F919" s="300"/>
    </row>
    <row r="920">
      <c r="F920" s="300"/>
    </row>
    <row r="921">
      <c r="F921" s="300"/>
    </row>
    <row r="922">
      <c r="F922" s="300"/>
    </row>
    <row r="923">
      <c r="F923" s="300"/>
    </row>
    <row r="924">
      <c r="F924" s="300"/>
    </row>
    <row r="925">
      <c r="F925" s="300"/>
    </row>
    <row r="926">
      <c r="F926" s="300"/>
    </row>
    <row r="927">
      <c r="F927" s="300"/>
    </row>
    <row r="928">
      <c r="F928" s="300"/>
    </row>
    <row r="929">
      <c r="F929" s="300"/>
    </row>
    <row r="930">
      <c r="F930" s="300"/>
    </row>
    <row r="931">
      <c r="F931" s="300"/>
    </row>
    <row r="932">
      <c r="F932" s="300"/>
    </row>
    <row r="933">
      <c r="F933" s="300"/>
    </row>
    <row r="934">
      <c r="F934" s="300"/>
    </row>
    <row r="935">
      <c r="F935" s="300"/>
    </row>
    <row r="936">
      <c r="F936" s="300"/>
    </row>
    <row r="937">
      <c r="F937" s="300"/>
    </row>
    <row r="938">
      <c r="F938" s="300"/>
    </row>
    <row r="939">
      <c r="F939" s="300"/>
    </row>
    <row r="940">
      <c r="F940" s="300"/>
    </row>
    <row r="941">
      <c r="F941" s="300"/>
    </row>
    <row r="942">
      <c r="F942" s="300"/>
    </row>
    <row r="943">
      <c r="F943" s="300"/>
    </row>
    <row r="944">
      <c r="F944" s="300"/>
    </row>
    <row r="945">
      <c r="F945" s="300"/>
    </row>
    <row r="946">
      <c r="F946" s="300"/>
    </row>
    <row r="947">
      <c r="F947" s="300"/>
    </row>
    <row r="948">
      <c r="F948" s="300"/>
    </row>
    <row r="949">
      <c r="F949" s="300"/>
    </row>
    <row r="950">
      <c r="F950" s="300"/>
    </row>
    <row r="951">
      <c r="F951" s="300"/>
    </row>
    <row r="952">
      <c r="F952" s="300"/>
    </row>
    <row r="953">
      <c r="F953" s="300"/>
    </row>
    <row r="954">
      <c r="F954" s="300"/>
    </row>
    <row r="955">
      <c r="F955" s="300"/>
    </row>
    <row r="956">
      <c r="F956" s="300"/>
    </row>
    <row r="957">
      <c r="F957" s="300"/>
    </row>
    <row r="958">
      <c r="F958" s="300"/>
    </row>
    <row r="959">
      <c r="F959" s="300"/>
    </row>
    <row r="960">
      <c r="F960" s="300"/>
    </row>
    <row r="961">
      <c r="F961" s="300"/>
    </row>
    <row r="962">
      <c r="F962" s="300"/>
    </row>
    <row r="963">
      <c r="F963" s="300"/>
    </row>
    <row r="964">
      <c r="F964" s="300"/>
    </row>
    <row r="965">
      <c r="F965" s="300"/>
    </row>
    <row r="966">
      <c r="F966" s="300"/>
    </row>
    <row r="967">
      <c r="F967" s="300"/>
    </row>
    <row r="968">
      <c r="F968" s="300"/>
    </row>
    <row r="969">
      <c r="F969" s="300"/>
    </row>
    <row r="970">
      <c r="F970" s="300"/>
    </row>
    <row r="971">
      <c r="F971" s="300"/>
    </row>
    <row r="972">
      <c r="F972" s="300"/>
    </row>
    <row r="973">
      <c r="F973" s="300"/>
    </row>
    <row r="974">
      <c r="F974" s="300"/>
    </row>
    <row r="975">
      <c r="F975" s="300"/>
    </row>
    <row r="976">
      <c r="F976" s="300"/>
    </row>
    <row r="977">
      <c r="F977" s="300"/>
    </row>
    <row r="978">
      <c r="F978" s="300"/>
    </row>
    <row r="979">
      <c r="F979" s="300"/>
    </row>
    <row r="980">
      <c r="F980" s="300"/>
    </row>
    <row r="981">
      <c r="F981" s="300"/>
    </row>
    <row r="982">
      <c r="F982" s="300"/>
    </row>
    <row r="983">
      <c r="F983" s="300"/>
    </row>
    <row r="984">
      <c r="F984" s="300"/>
    </row>
    <row r="985">
      <c r="F985" s="300"/>
    </row>
    <row r="986">
      <c r="F986" s="300"/>
    </row>
    <row r="987">
      <c r="F987" s="300"/>
    </row>
    <row r="988">
      <c r="F988" s="300"/>
    </row>
    <row r="989">
      <c r="F989" s="300"/>
    </row>
    <row r="990">
      <c r="F990" s="300"/>
    </row>
    <row r="991">
      <c r="F991" s="300"/>
    </row>
    <row r="992">
      <c r="F992" s="300"/>
    </row>
    <row r="993">
      <c r="F993" s="300"/>
    </row>
    <row r="994">
      <c r="F994" s="300"/>
    </row>
    <row r="995">
      <c r="F995" s="300"/>
    </row>
    <row r="996">
      <c r="F996" s="300"/>
    </row>
    <row r="997">
      <c r="F997" s="300"/>
    </row>
    <row r="998">
      <c r="F998" s="300"/>
    </row>
    <row r="999">
      <c r="F999" s="300"/>
    </row>
    <row r="1000">
      <c r="F1000" s="300"/>
    </row>
    <row r="1001">
      <c r="F1001" s="300"/>
    </row>
  </sheetData>
  <autoFilter ref="$A$1:$G$74"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